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fchavsa/Downloads/"/>
    </mc:Choice>
  </mc:AlternateContent>
  <xr:revisionPtr revIDLastSave="0" documentId="13_ncr:1_{BAE88CC9-7B8D-7C49-ADBC-CEB90DD5CB80}" xr6:coauthVersionLast="47" xr6:coauthVersionMax="47" xr10:uidLastSave="{00000000-0000-0000-0000-000000000000}"/>
  <bookViews>
    <workbookView xWindow="0" yWindow="0" windowWidth="28160" windowHeight="17620" activeTab="1" xr2:uid="{00000000-000D-0000-FFFF-FFFF00000000}"/>
  </bookViews>
  <sheets>
    <sheet name="Referencias de Riesgos" sheetId="1" r:id="rId1"/>
    <sheet name="Riesg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2" i="2" l="1"/>
  <c r="Q32" i="2"/>
  <c r="P32" i="2"/>
  <c r="L32" i="2"/>
  <c r="V32" i="2" s="1"/>
  <c r="R31" i="2"/>
  <c r="Q31" i="2"/>
  <c r="P31" i="2"/>
  <c r="L31" i="2"/>
  <c r="V31" i="2" s="1"/>
  <c r="R30" i="2"/>
  <c r="Q30" i="2"/>
  <c r="P30" i="2"/>
  <c r="L30" i="2"/>
  <c r="V30" i="2" s="1"/>
  <c r="V29" i="2"/>
  <c r="R29" i="2"/>
  <c r="Q29" i="2"/>
  <c r="P29" i="2"/>
  <c r="L29" i="2"/>
  <c r="R28" i="2"/>
  <c r="Q28" i="2"/>
  <c r="P28" i="2"/>
  <c r="L28" i="2"/>
  <c r="V28" i="2" s="1"/>
  <c r="R27" i="2"/>
  <c r="Q27" i="2"/>
  <c r="P27" i="2"/>
  <c r="L27" i="2"/>
  <c r="V27" i="2" s="1"/>
  <c r="V26" i="2"/>
  <c r="R26" i="2"/>
  <c r="Q26" i="2"/>
  <c r="P26" i="2"/>
  <c r="L26" i="2"/>
  <c r="V25" i="2"/>
  <c r="R25" i="2"/>
  <c r="Q25" i="2"/>
  <c r="P25" i="2"/>
  <c r="L25" i="2"/>
  <c r="R24" i="2"/>
  <c r="Q24" i="2"/>
  <c r="P24" i="2"/>
  <c r="L24" i="2"/>
  <c r="V24" i="2" s="1"/>
  <c r="R23" i="2"/>
  <c r="Q23" i="2"/>
  <c r="P23" i="2"/>
  <c r="L23" i="2"/>
  <c r="V23" i="2" s="1"/>
  <c r="R22" i="2"/>
  <c r="Q22" i="2"/>
  <c r="P22" i="2"/>
  <c r="L22" i="2"/>
  <c r="V22" i="2" s="1"/>
  <c r="R21" i="2"/>
  <c r="Q21" i="2"/>
  <c r="P21" i="2"/>
  <c r="L21" i="2"/>
  <c r="V21" i="2" s="1"/>
  <c r="V20" i="2"/>
  <c r="R20" i="2"/>
  <c r="Q20" i="2"/>
  <c r="P20" i="2"/>
  <c r="L20" i="2"/>
  <c r="V19" i="2"/>
  <c r="R19" i="2"/>
  <c r="Q19" i="2"/>
  <c r="P19" i="2"/>
  <c r="L19" i="2"/>
  <c r="R18" i="2"/>
  <c r="Q18" i="2"/>
  <c r="P18" i="2"/>
  <c r="L18" i="2"/>
  <c r="V18" i="2" s="1"/>
  <c r="R17" i="2"/>
  <c r="Q17" i="2"/>
  <c r="P17" i="2"/>
  <c r="L17" i="2"/>
  <c r="V17" i="2" s="1"/>
  <c r="R16" i="2"/>
  <c r="Q16" i="2"/>
  <c r="P16" i="2"/>
  <c r="L16" i="2"/>
  <c r="V16" i="2" s="1"/>
  <c r="R15" i="2"/>
  <c r="Q15" i="2"/>
  <c r="P15" i="2"/>
  <c r="L15" i="2"/>
  <c r="V15" i="2" s="1"/>
  <c r="V14" i="2"/>
  <c r="R14" i="2"/>
  <c r="Q14" i="2"/>
  <c r="P14" i="2"/>
  <c r="L14" i="2"/>
  <c r="V13" i="2"/>
  <c r="R13" i="2"/>
  <c r="Q13" i="2"/>
  <c r="P13" i="2"/>
  <c r="L13" i="2"/>
  <c r="R12" i="2"/>
  <c r="Q12" i="2"/>
  <c r="P12" i="2"/>
  <c r="L12" i="2"/>
  <c r="V12" i="2" s="1"/>
  <c r="R11" i="2"/>
  <c r="Q11" i="2"/>
  <c r="P11" i="2"/>
  <c r="L11" i="2"/>
  <c r="V11" i="2" s="1"/>
  <c r="R10" i="2"/>
  <c r="Q10" i="2"/>
  <c r="P10" i="2"/>
  <c r="L10" i="2"/>
  <c r="V10" i="2" s="1"/>
  <c r="R9" i="2"/>
  <c r="Q9" i="2"/>
  <c r="P9" i="2"/>
  <c r="L9" i="2"/>
  <c r="V9" i="2" s="1"/>
  <c r="V8" i="2"/>
  <c r="R8" i="2"/>
  <c r="Q8" i="2"/>
  <c r="P8" i="2"/>
  <c r="L8" i="2"/>
  <c r="V7" i="2"/>
  <c r="R7" i="2"/>
  <c r="Q7" i="2"/>
  <c r="P7" i="2"/>
  <c r="L7" i="2"/>
  <c r="H25" i="1"/>
  <c r="G25" i="1"/>
  <c r="F25" i="1"/>
  <c r="E25" i="1"/>
  <c r="D25" i="1"/>
  <c r="H24" i="1"/>
  <c r="G24" i="1"/>
  <c r="F24" i="1"/>
  <c r="E24" i="1"/>
  <c r="D24" i="1"/>
  <c r="H23" i="1"/>
  <c r="G23" i="1"/>
  <c r="F23" i="1"/>
  <c r="E23" i="1"/>
  <c r="D23" i="1"/>
  <c r="H22" i="1"/>
  <c r="G22" i="1"/>
  <c r="F22" i="1"/>
  <c r="E22" i="1"/>
  <c r="D22" i="1"/>
  <c r="H21" i="1"/>
  <c r="G21" i="1"/>
  <c r="F21" i="1"/>
  <c r="E21" i="1"/>
  <c r="D21" i="1"/>
</calcChain>
</file>

<file path=xl/sharedStrings.xml><?xml version="1.0" encoding="utf-8"?>
<sst xmlns="http://schemas.openxmlformats.org/spreadsheetml/2006/main" count="507" uniqueCount="293">
  <si>
    <t>REGISTRO DE RIESGOS</t>
  </si>
  <si>
    <t>Información General del Proyecto</t>
  </si>
  <si>
    <r>
      <rPr>
        <sz val="409.55"/>
        <color rgb="FF000000"/>
        <rFont val="Calibri"/>
        <family val="2"/>
      </rPr>
      <t>*</t>
    </r>
    <r>
      <rPr>
        <sz val="409.55"/>
        <color rgb="FF000000"/>
        <rFont val="Arial"/>
        <family val="2"/>
      </rPr>
      <t xml:space="preserve"> ID Proyecto</t>
    </r>
  </si>
  <si>
    <t>SFI-2026-01</t>
  </si>
  <si>
    <r>
      <rPr>
        <sz val="409.55"/>
        <color rgb="FF000000"/>
        <rFont val="Calibri"/>
        <family val="2"/>
      </rPr>
      <t>*</t>
    </r>
    <r>
      <rPr>
        <sz val="409.55"/>
        <color rgb="FF000000"/>
        <rFont val="Arial"/>
        <family val="2"/>
      </rPr>
      <t xml:space="preserve"> Nombre del Proyecto</t>
    </r>
  </si>
  <si>
    <t>SFI – Sistema Ferretero Inteligente</t>
  </si>
  <si>
    <r>
      <rPr>
        <sz val="409.55"/>
        <color rgb="FF000000"/>
        <rFont val="Calibri"/>
        <family val="2"/>
      </rPr>
      <t>*</t>
    </r>
    <r>
      <rPr>
        <sz val="409.55"/>
        <color rgb="FF000000"/>
        <rFont val="Arial"/>
        <family val="2"/>
      </rPr>
      <t xml:space="preserve"> Director del Proyecto</t>
    </r>
  </si>
  <si>
    <r>
      <rPr>
        <sz val="409.55"/>
        <color rgb="FF000000"/>
        <rFont val="Calibri"/>
        <family val="2"/>
      </rPr>
      <t>*</t>
    </r>
    <r>
      <rPr>
        <sz val="409.55"/>
        <color rgb="FF000000"/>
        <rFont val="Arial"/>
        <family val="2"/>
      </rPr>
      <t xml:space="preserve"> Gerente de Proyecto</t>
    </r>
  </si>
  <si>
    <r>
      <rPr>
        <sz val="409.55"/>
        <color rgb="FF000000"/>
        <rFont val="Calibri"/>
        <family val="2"/>
      </rPr>
      <t>*</t>
    </r>
    <r>
      <rPr>
        <sz val="409.55"/>
        <color rgb="FF000000"/>
        <rFont val="Arial"/>
        <family val="2"/>
      </rPr>
      <t xml:space="preserve"> Fecha de Inicio</t>
    </r>
  </si>
  <si>
    <r>
      <rPr>
        <sz val="409.55"/>
        <color rgb="FF000000"/>
        <rFont val="Calibri"/>
        <family val="2"/>
      </rPr>
      <t>*</t>
    </r>
    <r>
      <rPr>
        <sz val="409.55"/>
        <color rgb="FF000000"/>
        <rFont val="Arial"/>
        <family val="2"/>
      </rPr>
      <t xml:space="preserve"> Fecha de Fin </t>
    </r>
  </si>
  <si>
    <r>
      <rPr>
        <sz val="409.55"/>
        <color rgb="FF000000"/>
        <rFont val="Calibri"/>
        <family val="2"/>
      </rPr>
      <t>*</t>
    </r>
    <r>
      <rPr>
        <sz val="409.55"/>
        <color rgb="FF000000"/>
        <rFont val="Arial"/>
        <family val="2"/>
      </rPr>
      <t xml:space="preserve"> Cliente </t>
    </r>
  </si>
  <si>
    <r>
      <rPr>
        <sz val="409.55"/>
        <color rgb="FF000000"/>
        <rFont val="Calibri"/>
        <family val="2"/>
      </rPr>
      <t>*</t>
    </r>
    <r>
      <rPr>
        <sz val="409.55"/>
        <color rgb="FF000000"/>
        <rFont val="Arial"/>
        <family val="2"/>
      </rPr>
      <t xml:space="preserve"> Área:</t>
    </r>
  </si>
  <si>
    <t>Ecommerce ferretero e IA</t>
  </si>
  <si>
    <r>
      <rPr>
        <sz val="409.55"/>
        <color rgb="FF000000"/>
        <rFont val="Calibri"/>
        <family val="2"/>
      </rPr>
      <t>*</t>
    </r>
    <r>
      <rPr>
        <sz val="409.55"/>
        <color rgb="FF000000"/>
        <rFont val="Arial"/>
        <family val="2"/>
      </rPr>
      <t xml:space="preserve"> Sponsor</t>
    </r>
  </si>
  <si>
    <t>Equipo SFI</t>
  </si>
  <si>
    <t>REFERENCIAS del PLAN DE GESTIÓN DE RIESGOS</t>
  </si>
  <si>
    <t>Impacto</t>
  </si>
  <si>
    <t>Nivel de Probabilidad</t>
  </si>
  <si>
    <t>Valor</t>
  </si>
  <si>
    <t>Criterio</t>
  </si>
  <si>
    <t>Nivel</t>
  </si>
  <si>
    <t>P \ I</t>
  </si>
  <si>
    <t>Rara</t>
  </si>
  <si>
    <t>Excepcional; no hay antecedentes y existen controles sólidos.</t>
  </si>
  <si>
    <t>Poco probable</t>
  </si>
  <si>
    <t>Puede ocurrir en circunstancias aisladas.</t>
  </si>
  <si>
    <t>Posible</t>
  </si>
  <si>
    <t>Existe una posibilidad real durante el proyecto o piloto.</t>
  </si>
  <si>
    <t>Probable</t>
  </si>
  <si>
    <t>Se espera si no se aplican controles adicionales.</t>
  </si>
  <si>
    <t>Casi segura</t>
  </si>
  <si>
    <t>Es recurrente o existe evidencia directa.</t>
  </si>
  <si>
    <t>Nivel de Impacto</t>
  </si>
  <si>
    <t>Insignificante</t>
  </si>
  <si>
    <t>Ajuste menor, sin afectar clientes, seguridad ni hitos.</t>
  </si>
  <si>
    <t>Menor</t>
  </si>
  <si>
    <t>Retrabajo acotado o demora de hasta dos días.</t>
  </si>
  <si>
    <t>Moderado</t>
  </si>
  <si>
    <t>Demora de tres a cinco días, costo o reclamos limitados.</t>
  </si>
  <si>
    <t>Mayor</t>
  </si>
  <si>
    <t>Compromete un hito, datos, ingresos, adopción o reputación.</t>
  </si>
  <si>
    <t>Crítico</t>
  </si>
  <si>
    <t>Puede causar daño, incumplimiento, pérdida severa o fracaso del piloto.</t>
  </si>
  <si>
    <t>ID del Proyecto</t>
  </si>
  <si>
    <t>Nombre del Proyecto</t>
  </si>
  <si>
    <t>Director de Proyecto</t>
  </si>
  <si>
    <t>Registro y Seguimiento de Riesgos</t>
  </si>
  <si>
    <t>Fecha 
Identificación</t>
  </si>
  <si>
    <t>Nro.</t>
  </si>
  <si>
    <t>Riesgo/Evento de Riesgo</t>
  </si>
  <si>
    <t>Categoría</t>
  </si>
  <si>
    <t>Fuente/Causa/
Condición</t>
  </si>
  <si>
    <t>Impacta a/ Consecuencias
Objetivos Proyecto</t>
  </si>
  <si>
    <t>Descripción y Comentarios</t>
  </si>
  <si>
    <t>Probabilidad</t>
  </si>
  <si>
    <t>Valor de Probabilidad</t>
  </si>
  <si>
    <t>Valor Impacto</t>
  </si>
  <si>
    <t>Magnitud</t>
  </si>
  <si>
    <t>Asignado a (Responsable)</t>
  </si>
  <si>
    <t>combo_probabilidad</t>
  </si>
  <si>
    <t>ponderacion_combo_probabilidad</t>
  </si>
  <si>
    <t>combo_impacto</t>
  </si>
  <si>
    <t xml:space="preserve">Tipo de estrategia </t>
  </si>
  <si>
    <t xml:space="preserve">Plan de mitigacion </t>
  </si>
  <si>
    <t>Felipe Chávez</t>
  </si>
  <si>
    <t>Grupo Punto Obra; piloto en Quilicura</t>
  </si>
  <si>
    <t>Corte: 03-10-2026. Semana 8 cierra el Sprint 1. No hay Sprint 0.</t>
  </si>
  <si>
    <t>Nivel: Bajo 1–4; Medio 5–9; Alto 10–16; Crítico 17–25.</t>
  </si>
  <si>
    <t>Los riesgos permanecen identificados hasta verificar controles. Las metas residuales del plan no constituyen resultados efectivos. Revisar acciones y evidencias en cada Weekly.</t>
  </si>
  <si>
    <t>Actualizado: 03-10-2026</t>
  </si>
  <si>
    <t>Registro de riesgos: 26. Corte: cierre del Sprint 1, semana 8. Weekly los jueves.</t>
  </si>
  <si>
    <t>Hito objetivo de tratamiento</t>
  </si>
  <si>
    <t>Estado del riesgo</t>
  </si>
  <si>
    <t>Código del plan</t>
  </si>
  <si>
    <t>Nivel P × I</t>
  </si>
  <si>
    <t>Sprint de control</t>
  </si>
  <si>
    <t>Señal de alerta</t>
  </si>
  <si>
    <t>Evidencia del control</t>
  </si>
  <si>
    <t>Próxima revisión</t>
  </si>
  <si>
    <t>Indisponibilidad de la plataforma o de sus servicios principales</t>
  </si>
  <si>
    <t>Técnico</t>
  </si>
  <si>
    <t>Configuración defectuosa, capacidad insuficiente o caída de componentes de nube.</t>
  </si>
  <si>
    <t>Continuidad operacional, ventas, atención al cliente y cumplimiento del calendario.</t>
  </si>
  <si>
    <t>Una configuración defectuosa, capacidad insuficiente o caída de componentes de nube deja fuera de servicio el catálogo, carrito, chatbot o panel de administración, interrumpiendo ventas y atención.</t>
  </si>
  <si>
    <t>Alonso Urrutia / Felipe Chávez</t>
  </si>
  <si>
    <t>Antes del piloto y entrega en Sprint 3</t>
  </si>
  <si>
    <t>Identificado</t>
  </si>
  <si>
    <t>Mitigar</t>
  </si>
  <si>
    <t>Arquitectura desacoplada; monitoreo de disponibilidad y latencia; capacidad escalable; entornos separados; despliegue gradual; pruebas de carga y procedimiento de reversa. Contingencia: Activar modo degradado sin chatbot, revertir la última versión, levantar servicios redundantes, comunicar el incidente y recuperar desde respaldos si corresponde.</t>
  </si>
  <si>
    <t>TEC-01</t>
  </si>
  <si>
    <t>Transversal / Sprint 3</t>
  </si>
  <si>
    <t>Errores 5xx por sobre el umbral, latencia creciente, reinicios repetidos, saturación de CPU/memoria o alertas de disponibilidad.</t>
  </si>
  <si>
    <t>Sin evidencia vinculada</t>
  </si>
  <si>
    <t>Falla de integración con inventario, pagos o gestión de pedidos</t>
  </si>
  <si>
    <t>APIs incompletas, cambios de contrato, confirmaciones de Transbank fallidos o sincronización deficiente.</t>
  </si>
  <si>
    <t>Pedidos, stock, pagos, experiencia del cliente y fecha de salida al piloto.</t>
  </si>
  <si>
    <t>APIs incompletas, cambios de contrato o sincronizaciones fallidas provocan stock incorrecto, cobros sin pedido, pedidos duplicados o estados inconsistentes entre SFI y la ferretería.</t>
  </si>
  <si>
    <t>Alonso Urrutia / Franco Miranda</t>
  </si>
  <si>
    <t>Cierre Sprint 1; mantener control</t>
  </si>
  <si>
    <t>Contratos de API versionados; idempotencia; validación de datos; colas con reintentos; pruebas de integración automatizadas; ambiente de pruebas y conciliación diaria. Contingencia: Pausar ventas del producto afectado, reconciliar transacciones, procesar manualmente excepciones, restaurar la versión estable y escalar al proveedor o área dueña de la API.</t>
  </si>
  <si>
    <t>TEC-02</t>
  </si>
  <si>
    <t>Sprint 1</t>
  </si>
  <si>
    <t>Diferencias entre stock físico y publicado, colas de eventos atrasadas, confirmaciones de Transbank rechazados, pagos sin orden asociada o reintentos crecientes.</t>
  </si>
  <si>
    <t>Datos inconsistentes de catálogo, precios, unidades o stock</t>
  </si>
  <si>
    <t>Cargas manuales, códigos duplicados, unidades incompatibles y validaciones insuficientes.</t>
  </si>
  <si>
    <t>Exactitud de presupuestos, calidad de recomendaciones, ventas y confianza del cliente.</t>
  </si>
  <si>
    <t>Códigos duplicados, unidades de medida incompatibles o cargas manuales deficientes hacen que SFI recomiende o venda cantidades, precios o productos equivocados.</t>
  </si>
  <si>
    <t>Modelo maestro de datos; reglas de validación; bitácora de cambios; catálogo de unidades; responsables por dato; importaciones de prueba y auditorías periódicas. Contingencia: Bloquear registros sospechosos, volver a la última versión validada del catálogo, corregir en lote, revisar pedidos afectados y notificar a clientes cuando sea necesario.</t>
  </si>
  <si>
    <t>TEC-03</t>
  </si>
  <si>
    <t>Productos sin unidad, precios fuera de rango, SKU repetidos, variaciones abruptas de stock o reclamos por diferencias entre web y tienda.</t>
  </si>
  <si>
    <t>Pérdida de información o recuperación incompleta ante incidente</t>
  </si>
  <si>
    <t>Borrado accidental, ciberataque, respaldo mal configurado o fallas de almacenamiento.</t>
  </si>
  <si>
    <t>Datos de pedidos, clientes, maestros, inventario, continuidad y cumplimiento.</t>
  </si>
  <si>
    <t>Un ciberataque, borrado accidental o respaldo mal configurado elimina pedidos, clientes, maestros, historial del chatbot o datos de inventario y dificulta restablecer la operación.</t>
  </si>
  <si>
    <t>Respaldos cifrados y separados; política 3-2-1; restauraciones ensayadas; privilegios mínimos; MFA; registro de auditoría y objetivos RPO/RTO definidos. Contingencia: Aislar sistemas, activar respuesta a incidentes, preservar evidencia, restaurar el último respaldo íntegro, validar consistencia y comunicar conforme al protocolo.</t>
  </si>
  <si>
    <t>TEC-04</t>
  </si>
  <si>
    <t>Fallos de respaldo, cambios masivos no autorizados, cifrado de archivos, cuentas privilegiadas anómalas o incumplimiento de los objetivos de recuperación.</t>
  </si>
  <si>
    <t>Recomendaciones incorrectas o inseguras del chatbot con IA</t>
  </si>
  <si>
    <t>Información incompleta, alucinaciones, fuentes deficientes o ausencia de restricciones de seguridad.</t>
  </si>
  <si>
    <t>Seguridad de las personas, calidad del servicio, responsabilidad legal y reputación.</t>
  </si>
  <si>
    <t>Información incompleta del cliente, alucinaciones o falta de restricciones lleva al chatbot a recomendar materiales, cantidades o procedimientos inadecuados, especialmente en trabajos eléctricos, de gas o estructurales.</t>
  </si>
  <si>
    <t>Antes de activar función en Sprint 2</t>
  </si>
  <si>
    <t>Evitar y mitigar</t>
  </si>
  <si>
    <t>Catálogo y fichas verificadas; preguntas obligatorias; límites de dominio; plantillas de respuesta; consulta de catálogo validado; evaluación de casos; filtros de seguridad y derivación a especialista. Contingencia: No emitir instrucciones peligrosas; mostrar advertencia y solicitar más datos; derivar a un maestro validado; retirar la respuesta; registrar el caso y ajustar reglas/modelo antes de reactivar.</t>
  </si>
  <si>
    <t>TEC-05</t>
  </si>
  <si>
    <t>Sprint 2</t>
  </si>
  <si>
    <t>Respuestas sin fuente o justificación, confianza baja, instrucciones de alto riesgo, contradicciones con fichas técnicas o reportes negativos de usuarios.</t>
  </si>
  <si>
    <t>Acceso cruzado o mezcla de datos entre clientes empresariales</t>
  </si>
  <si>
    <t>Aislamiento incompleto de datos, permisos o configuración por cliente.</t>
  </si>
  <si>
    <t>Confidencialidad, integridad, aceptación empresarial y confianza.</t>
  </si>
  <si>
    <t>La venta e implementación a varios clientes puede exponer cuentas, pedidos, catálogo, inventario o crédito de una empresa a otra si falta aislamiento en consultas, permisos, archivos o configuración.</t>
  </si>
  <si>
    <t>Antes de habilitar varios clientes</t>
  </si>
  <si>
    <t>Definir la separación de datos de cada implementación; restringir consultas y archivos por cliente; separar credenciales y configuración; probar accesos cruzados. Si se adopta infraestructura compartida, validar el aislamiento antes de habilitarla. Contingencia: Suspender la función afectada, aislar accesos, conservar registros, corregir permisos y ejecutar regresión por empresa antes de reactivar.</t>
  </si>
  <si>
    <t>TEC-06</t>
  </si>
  <si>
    <t>Transversal</t>
  </si>
  <si>
    <t>Respuesta, documento o pedido de otra empresa visible desde una cuenta de cliente.</t>
  </si>
  <si>
    <t>Crecimiento no controlado del alcance durante las 18 semanas</t>
  </si>
  <si>
    <t>Organizacional</t>
  </si>
  <si>
    <t>Incorporación de funciones no priorizadas sin ajustar plazo, presupuesto o capacidad.</t>
  </si>
  <si>
    <t>Cronograma, presupuesto, calidad del producto mínimo viable y carga del equipo.</t>
  </si>
  <si>
    <t>Se incorporan funciones no priorizadas —crédito avanzado, múltiples tiendas, despacho complejo o nuevas integraciones— sin ajustar plazo, presupuesto ni capacidad del equipo.</t>
  </si>
  <si>
    <t>MVP y criterios de aceptación aprobados; backlog priorizado; control de cambios; estimación de impacto y congelamiento de alcance antes del piloto. Contingencia: Reordenar backlog, trasladar funciones a una fase posterior, renegociar hitos y conservar únicamente el flujo mínimo de compra, IA y maestros.</t>
  </si>
  <si>
    <t>ORG-01</t>
  </si>
  <si>
    <t>Historias nuevas en cada revisión, cambios sin estimación, tareas críticas postergadas o aumento sostenido del trabajo pendiente.</t>
  </si>
  <si>
    <t>Dependencia de conocimiento concentrado en un integrante</t>
  </si>
  <si>
    <t>Especialización por rol, documentación atrasada y ausencia de revisión cruzada.</t>
  </si>
  <si>
    <t>Continuidad del desarrollo, resolución de incidentes, despliegues y cumplimiento de hitos.</t>
  </si>
  <si>
    <t>La arquitectura, IA, frontend o pruebas quedan dominadas por una sola persona; una ausencia o sobrecarga detiene decisiones, correcciones y entregas.</t>
  </si>
  <si>
    <t>Felipe Chávez / Todo el equipo</t>
  </si>
  <si>
    <t>Revisión cruzada; programación conjunta en módulos críticos; documentación viva; rotación de soporte; repositorio común y guía de recuperación del entorno. Contingencia: Reasignar prioridades, activar respaldo por rol, reducir temporalmente alcance, documentar decisiones pendientes y contratar apoyo puntual si el hito queda comprometido.</t>
  </si>
  <si>
    <t>ORG-02</t>
  </si>
  <si>
    <t>Componentes sin revisor alterno, documentación atrasada, bloqueos mayores a dos días o tareas que nadie más puede desplegar.</t>
  </si>
  <si>
    <t>Roles, autoridad o criterios de decisión poco claros</t>
  </si>
  <si>
    <t>Matriz de responsabilidades incompleta y aprobaciones sin responsable único.</t>
  </si>
  <si>
    <t>Velocidad de decisión, coordinación, calidad y capacidad de respuesta ante problemas.</t>
  </si>
  <si>
    <t>Dudas sobre quién aprueba arquitectura, interfaz, seguridad o aceptación generan decisiones contradictorias y retrasos en cambios urgentes.</t>
  </si>
  <si>
    <t>Matriz RACI; responsable único por entregable; actas breves; registro de decisiones técnicas y ventanas de aprobación definidas. Contingencia: Escalar al Jefe de Proyecto, resolver con los criterios del MVP, registrar la decisión y actualizar la RACI para evitar recurrencia.</t>
  </si>
  <si>
    <t>ORG-03</t>
  </si>
  <si>
    <t>Aprobaciones duplicadas, tareas sin dueño, discusiones repetidas o decisiones que no quedan registradas.</t>
  </si>
  <si>
    <t>Comunicación insuficiente con la ferretería piloto y usuarios</t>
  </si>
  <si>
    <t>Retroalimentación tardía, baja asistencia a revisiones y requisitos no validados.</t>
  </si>
  <si>
    <t>Adecuación funcional, experiencia de compra, aceptación del piloto y retrabajo.</t>
  </si>
  <si>
    <t>El equipo construye flujos que no reflejan la operación real de catálogo, preparación de pedidos, despacho o contratación de maestros.</t>
  </si>
  <si>
    <t>Felipe Chávez / Vicente Palma</t>
  </si>
  <si>
    <t>Entrevistas y demostraciones quincenales; prototipos tempranos; registro de acuerdos; usuario referente y criterios de aceptación observables. Contingencia: Realizar sesión de alineación, identificar brechas, ajustar primero los flujos críticos y diferir mejoras no esenciales.</t>
  </si>
  <si>
    <t>ORG-04</t>
  </si>
  <si>
    <t>Retroalimentación tardía, requisitos contradictorios, baja asistencia a demostraciones o rechazo de prototipos ya desarrollados.</t>
  </si>
  <si>
    <t>Falta de capacitación y resistencia al cambio</t>
  </si>
  <si>
    <t>Onboarding complejo, capacitación insuficiente y preferencia por procesos manuales conocidos.</t>
  </si>
  <si>
    <t>Adopción, productividad, calidad de datos, soporte y satisfacción de usuarios.</t>
  </si>
  <si>
    <t>Personal de la ferretería, clientes o maestros evita usar la plataforma o comete errores por desconocer el registro, gestión de pedidos, recomendaciones y soporte.</t>
  </si>
  <si>
    <t>Diseño simple; ayudas contextuales; manual breve; videos; capacitación por rol; ambiente de práctica y medición de tareas completadas. Contingencia: Refuerzo individual, simplificación del flujo, soporte en terreno durante el piloto y desactivación temporal de funciones que generen errores recurrentes.</t>
  </si>
  <si>
    <t>ORG-05</t>
  </si>
  <si>
    <t>Abandono en onboarding, consultas repetitivas, uso de planillas paralelas, errores de carga o baja activación de cuentas.</t>
  </si>
  <si>
    <t>Venta o recomendación de productos sin disponibilidad real</t>
  </si>
  <si>
    <t>Operacional</t>
  </si>
  <si>
    <t>Sincronización tardía, reserva deficiente y diferencias entre stock físico y publicado.</t>
  </si>
  <si>
    <t>Ventas, cumplimiento de pedidos, continuidad de proyectos y satisfacción del cliente.</t>
  </si>
  <si>
    <t>La sincronización tardía o la reserva deficiente permite comprar materiales agotados, dejando proyectos incompletos y generando devoluciones o reclamos.</t>
  </si>
  <si>
    <t>Reserva transaccional; stock de seguridad; sincronización frecuente; reglas para sustitutos; bloqueo automático y conciliación de inventario. Contingencia: Contactar al cliente, ofrecer sustituto equivalente validado o devolución, actualizar el pedido y corregir inmediatamente el stock publicado.</t>
  </si>
  <si>
    <t>OPE-01</t>
  </si>
  <si>
    <t>Stock negativo, cancelaciones por falta de producto, diferencias en conteos cíclicos o alta frecuencia de sustituciones manuales.</t>
  </si>
  <si>
    <t>Errores de pago y conciliación con Transbank</t>
  </si>
  <si>
    <t>Confirmaciones incompletas, reintentos sin idempotencia o estados de pago inconsistentes.</t>
  </si>
  <si>
    <t>Ingresos, conciliación financiera, confianza del cliente y carga de soporte.</t>
  </si>
  <si>
    <t>El pago puede duplicarse o quedar aprobado sin pedido. El sistema debe relacionar cada confirmación con la compra; la facturación tributaria no se presume una integración implementada.</t>
  </si>
  <si>
    <t>Mitigar y transferir</t>
  </si>
  <si>
    <t>Validar respuestas de Webpay, referencias y estados de compra; aplicar idempotencia y trazabilidad; probar pagos aprobados, rechazados, cancelados y repetidos; conciliar pagos y pedidos. Contingencia: Pausar la operación afectada, conciliar con la pasarela, corregir el pedido o gestionar devolución de un cobro indebido según el procedimiento del cliente.</t>
  </si>
  <si>
    <t>OPE-02</t>
  </si>
  <si>
    <t>Pago aprobado sin pedido, referencia duplicada o divergencia entre Webpay y el estado de compra.</t>
  </si>
  <si>
    <t>Publicación de perfiles de maestros con datos o documentos inconsistentes</t>
  </si>
  <si>
    <t>Controles débiles de identidad, experiencia, documentos, especialidad e historial.</t>
  </si>
  <si>
    <t>Seguridad del cliente, calidad del servicio, reputación y responsabilidad de SFI.</t>
  </si>
  <si>
    <t>La aprobación incorrecta de identidad, especialidad o documentación puede publicar perfiles engañosos y afectar la confianza y privacidad. La publicación no garantiza la calidad de una obra ni constituye contratación dentro de SFI.</t>
  </si>
  <si>
    <t>Validar datos y documentos de registro; restringir acceso a documentación; aprobar publicación por rol; probar visibilidad pública y privada; informar el alcance de promoción y contacto. Contingencia: Ocultar el perfil cuestionado, conservar evidencia, revisar antecedentes y corregir publicación o permisos. Las controversias sobre obras se resuelven entre las partes externas.</t>
  </si>
  <si>
    <t>OPE-03</t>
  </si>
  <si>
    <t>Perfil publicado sin aprobación, documento accesible por otro usuario o datos inconsistentes.</t>
  </si>
  <si>
    <t>Confusión sobre el alcance del directorio de maestros y contacto externo</t>
  </si>
  <si>
    <t>Textos, interfaces o expectativas que confunden promoción con contratación de obras.</t>
  </si>
  <si>
    <t>Confianza del usuario, reputación, alcance y soporte de la plataforma.</t>
  </si>
  <si>
    <t>El usuario puede interpretar que SFI contrata, supervisa o garantiza obras al contactar un maestro publicado. Esto puede generar reclamos y afectar la reputación del producto.</t>
  </si>
  <si>
    <t>Mostrar aviso de negociación y ejecución externas junto al contacto; revisar textos y diseño; excluir órdenes de servicio, reservas contractuales de obra, mediación, reasignación y reembolsos de trabajos del alcance de SFI. Contingencia: Aclarar el alcance del directorio, revisar la comunicación cuestionada y registrar la incidencia de publicación. La plataforma atiende problemas de cuenta y visibilidad; no gestiona el contrato de obra.</t>
  </si>
  <si>
    <t>OPE-04</t>
  </si>
  <si>
    <t>Mensajes que prometen contratación, garantía de obra o gestión de disputas desde SFI.</t>
  </si>
  <si>
    <t>Defectos de versión y saturación del soporte en el piloto</t>
  </si>
  <si>
    <t>Pruebas insuficientes, regresiones, cambios tardíos y capacidad limitada del equipo.</t>
  </si>
  <si>
    <t>Calidad, continuidad del piloto, tiempo de respuesta, adopción y cronograma.</t>
  </si>
  <si>
    <t>Una versión con fallos o demasiadas consultas simultáneas supera la capacidad del equipo, prolonga incidentes y deteriora la adopción inicial.</t>
  </si>
  <si>
    <t>Plan de pruebas por riesgo; automatización de regresión; criterios de salida; piloto acotado; turnos de soporte; base de conocimiento y tablero de incidentes. Contingencia: Congelar cambios, priorizar severidad 1 y 2, revertir versión, activar modo degradado, informar estado y programar corrección verificable.</t>
  </si>
  <si>
    <t>OPE-05</t>
  </si>
  <si>
    <t>Aumento de defectos críticos, tickets sin responder, regresiones, despliegues de emergencia o tiempo medio de resolución creciente.</t>
  </si>
  <si>
    <t>Tratamiento inadecuado de datos personales y conversaciones</t>
  </si>
  <si>
    <t>Legal/Financiero</t>
  </si>
  <si>
    <t>Recolección excesiva, consentimiento insuficiente, accesos amplios o retención indefinida.</t>
  </si>
  <si>
    <t>Cumplimiento, privacidad, seguridad de datos, reputación y continuidad del proyecto.</t>
  </si>
  <si>
    <t>SFI recopila más datos de los necesarios, carece de consentimiento o retiene conversaciones, direcciones, pagos o antecedentes de maestros sin controles suficientes.</t>
  </si>
  <si>
    <t>Privacidad desde el diseño; minimización; consentimiento y finalidad; retención definida; control de acceso; cifrado; registro de tratamiento y canal de derechos. Contingencia: Contener el acceso, evaluar alcance, revocar credenciales, preservar evidencia, atender a los afectados y ejecutar el protocolo legal y comunicacional.</t>
  </si>
  <si>
    <t>LFI-01</t>
  </si>
  <si>
    <t>Campos sin finalidad, accesos no justificados, solicitudes de eliminación no atendidas, exportaciones manuales o datos sensibles en registros técnicos.</t>
  </si>
  <si>
    <t>Responsabilidad por recomendaciones, productos o servicios</t>
  </si>
  <si>
    <t>Límites insuficientes del chatbot, términos ambiguos o falta de derivación en trabajos críticos.</t>
  </si>
  <si>
    <t>Daños a personas o bienes, reclamos, costos legales, seguros y reputación.</t>
  </si>
  <si>
    <t>Una recomendación de IA o una comunicación ambigua sobre productos y perfiles puede generar reclamos. SFI proporciona orientación y contacto informativo; las negociaciones y obras se realizan externamente.</t>
  </si>
  <si>
    <t>Evitar y transferir</t>
  </si>
  <si>
    <t>Definir límites de las recomendaciones; revisar fichas y cantidades; evitar instrucciones para trabajos críticos; informar alcance externo del directorio; registrar cambios de términos y mensajes. Contingencia: Retirar contenido riesgoso, preservar registros, revisar el caso con el cliente empresarial y ajustar controles antes de reactivar la función.</t>
  </si>
  <si>
    <t>LFI-02</t>
  </si>
  <si>
    <t>Consultas sobre instalaciones reguladas, daños reportados, ausencia de aceptación de términos o instrucciones que exceden el uso informativo.</t>
  </si>
  <si>
    <t>Desviación del presupuesto de desarrollo, infraestructura o IA</t>
  </si>
  <si>
    <t>Reprocesos, infraestructura sobredimensionada, consultas extensas y falta de límites de consumo.</t>
  </si>
  <si>
    <t>Presupuesto del proyecto, cumplimiento contractual, alcance y continuidad de los cuatro integrantes.</t>
  </si>
  <si>
    <t>Retrabajo, consumo de IA y recursos sobredimensionados pueden superar el presupuesto de referencia de 100.000.000 CLP. El proyecto contempla costos directos con adicional del 15 % y reserva de 1.500.000 CLP; esta reserva no implica gasto realizado. El modelo es venta e implementación para empresas, con hitos al inicio de cada sprint y mantención por cinco años separada del presupuesto inicial.</t>
  </si>
  <si>
    <t>Felipe Chávez / Alonso Urrutia</t>
  </si>
  <si>
    <t>Comparar gasto y compromisos contra el flujo aprobado; controlar consumo de IA e infraestructura; revisar impactos antes de aceptar cambios; autorizar uso de reserva y actualizar hitos de pago. Contingencia: Priorizar trabajo esencial, ajustar consumo y capacidad, registrar impacto y acordar cambios de alcance o presupuesto con el cliente antes de comprometerlos.</t>
  </si>
  <si>
    <t>LFI-03</t>
  </si>
  <si>
    <t>Gasto o compromisos por encima de lo planificado; uso de reserva sin aprobación.</t>
  </si>
  <si>
    <t>Morosidad o fraude en el crédito ofrecido a maestros</t>
  </si>
  <si>
    <t>Identidad incompleta, criterios de elegibilidad débiles o aumentos de cupo sin historial suficiente.</t>
  </si>
  <si>
    <t>Flujo de caja, pérdidas financieras, cobranza, fraude y confianza de la ferretería.</t>
  </si>
  <si>
    <t>El crédito comercial de maestros puede presentar fraude o impago por validación insuficiente, cupos inconsistentes o aumentos sin historial. SFI controla cupo, saldo y permisos; la ferretería decide aprobación, condiciones y cobranza.</t>
  </si>
  <si>
    <t>Definir reglas comerciales con la ferretería; validar identidad y roles; impedir sobregiro; auditar cambios de cupo; probar concurrencia y compras repetidas; limitar exposición del piloto. Contingencia: Bloquear nuevas compras a crédito, conciliar saldo y operaciones y escalar a la ferretería responsable de decidir regularización o cobranza.</t>
  </si>
  <si>
    <t>LFI-04</t>
  </si>
  <si>
    <t>Atrasos, múltiples cuentas asociadas, compras atípicas, cambios de identidad o aumento rápido del monto utilizado.</t>
  </si>
  <si>
    <t>Conflictos contractuales sobre alcance, aceptación o propiedad intelectual</t>
  </si>
  <si>
    <t>Contratos ambiguos, entregables sin aprobación y licencias o titularidad no documentadas.</t>
  </si>
  <si>
    <t>Aceptación, pagos, continuidad contractual, propiedad del código y reputación.</t>
  </si>
  <si>
    <t>La empresa compradora o ferretería interpreta de forma distinta las funciones incluidas, plazos, soporte, entregables, licencias o titularidad del código y datos.</t>
  </si>
  <si>
    <t>Contrato y SOW; entregables y exclusiones; aceptación por hito; propiedad y licencias; niveles de soporte; control de cambios y repositorio de evidencias. Contingencia: Congelar el cambio discutido, revisar documentación, negociar un anexo, separar correcciones de ampliaciones y escalar a asesoría antes de continuar.</t>
  </si>
  <si>
    <t>LFI-05</t>
  </si>
  <si>
    <t>Solicitudes fuera de alcance, hitos sin firma, pagos retenidos, criterios ambiguos o uso de componentes sin licencia registrada.</t>
  </si>
  <si>
    <t>Caída o cambio de condiciones de proveedores externos</t>
  </si>
  <si>
    <t>Externo</t>
  </si>
  <si>
    <t>Dependencia de pasarela, IA, correo, mapas, hosting o APIs de terceros.</t>
  </si>
  <si>
    <t>Disponibilidad, costos, integraciones, cronograma y continuidad del servicio.</t>
  </si>
  <si>
    <t>La pasarela de pago, servicio de IA, correo, mapas, hosting o API de la ferretería queda indisponible, cambia precios o modifica su interfaz.</t>
  </si>
  <si>
    <t>Abstracción por proveedor; versionado; monitoreo; límites; contratos/SLA; exportación de datos y evaluación de alternativas críticas. Contingencia: Usar proveedor alternativo o modo degradado, poner en cola solicitudes, comunicar la limitación y ejecutar el plan de migración priorizado.</t>
  </si>
  <si>
    <t>EXT-01</t>
  </si>
  <si>
    <t>Avisos de deprecación, incumplimiento de SLA, aumento de errores, alza tarifaria o cambios de cuota.</t>
  </si>
  <si>
    <t>Ciberataques, fraude o abuso automatizado desde Internet</t>
  </si>
  <si>
    <t>Exposición pública, credenciales robadas, bots, fraude de pago, scraping o prompt injection.</t>
  </si>
  <si>
    <t>Seguridad, datos, pagos, disponibilidad, reputación y cumplimiento.</t>
  </si>
  <si>
    <t>Actores externos realizan robo de credenciales, ataques de denegación, fraude de pago, scraping, prompt injection o creación masiva de cuentas.</t>
  </si>
  <si>
    <t>MFA administrativo; WAF; rate limiting; gestión de secretos; detección de fraude; validación de entradas; pruebas de seguridad y respuesta ensayada. Contingencia: Bloquear origen/cuenta, rotar credenciales, aislar servicio, preservar registros, activar proveedor antifraude y restablecer de forma controlada.</t>
  </si>
  <si>
    <t>EXT-02</t>
  </si>
  <si>
    <t>Intentos de acceso anómalos, tráfico abrupto, patrones repetitivos, contracargos, consultas diseñadas para extraer instrucciones o secretos.</t>
  </si>
  <si>
    <t>Baja adopción por ferreterías, clientes o maestros</t>
  </si>
  <si>
    <t>Valor percibido insuficiente, precio inadecuado, onboarding complejo o preferencia por canales conocidos.</t>
  </si>
  <si>
    <t>Ingresos, crecimiento, viabilidad comercial y recuperación de la inversión.</t>
  </si>
  <si>
    <t>El cliente empresarial y sus usuarios pueden no adoptar el ecommerce, la asistencia de IA o el directorio. Esto afecta aceptación, uso y posibilidades de venta e implementación a otros clientes; no equivale a ingresos futuros garantizados.</t>
  </si>
  <si>
    <t>Vicente Palma / Felipe Chávez</t>
  </si>
  <si>
    <t>Realizar piloto con usuarios del cliente, simplificar acceso y navegación, medir tareas de compra y contacto, y ajustar propuesta de valor según observaciones. Contingencia: Priorizar barreras de uso, reforzar capacitación y ajustar la implementación por cliente mediante cambios acordados.</t>
  </si>
  <si>
    <t>EXT-03</t>
  </si>
  <si>
    <t>Pocas altas activas, conversión baja, abandono del onboarding, escasa recurrencia o rechazo de ferreterías al modelo comercial.</t>
  </si>
  <si>
    <t>Variaciones económicas y de demanda que afectan precios y ventas</t>
  </si>
  <si>
    <t>Inflación, cambios en actividad de construcción y variaciones de precios de materiales.</t>
  </si>
  <si>
    <t>Márgenes, presupuestos del chatbot, conversión, demanda e ingresos proyectados.</t>
  </si>
  <si>
    <t>Inflación, menor actividad de construcción o cambios de precio de materiales reducen márgenes, alteran presupuestos y vuelven obsoletas estimaciones del chatbot.</t>
  </si>
  <si>
    <t>Aceptar y mitigar</t>
  </si>
  <si>
    <t>Precios con vigencia; actualización frecuente; márgenes y supuestos visibles; seguimiento de categorías y escenarios conservadores. Contingencia: Recalcular presupuestos, avisar vigencia, ajustar promoción y catálogo, priorizar productos de mejor rotación y revisar metas financieras.</t>
  </si>
  <si>
    <t>EXT-04</t>
  </si>
  <si>
    <t>Cambios frecuentes de lista, menor conversión, márgenes decrecientes o diferencias entre precio recomendado y precio efectivo.</t>
  </si>
  <si>
    <t>Cambios regulatorios aplicables a comercio electrónico, IA o crédito</t>
  </si>
  <si>
    <t>Nuevas exigencias sobre consumidores, datos, algoritmos, contratación digital o financiamiento.</t>
  </si>
  <si>
    <t>Cumplimiento, contratos, alcance, costos, cronograma y continuidad de funciones.</t>
  </si>
  <si>
    <t>Nuevas exigencias sobre datos, transparencia algorítmica, consumidores, contratación digital o financiamiento obligan a modificar flujos y contratos.</t>
  </si>
  <si>
    <t>Revisión regulatoria periódica; arquitectura configurable; inventario de datos; versiones de términos y responsables de cumplimiento. Contingencia: Evaluar brecha, priorizar cambios obligatorios, suspender temporalmente la función afectada y actualizar contratos, controles y comunicación.</t>
  </si>
  <si>
    <t>EXT-05</t>
  </si>
  <si>
    <t>Publicación de nuevas normas, requerimientos de clientes empresariales, auditorías o cambios solicitados por proveedores de pago.</t>
  </si>
  <si>
    <t>Alonso Urrutia / Vicente Palma</t>
  </si>
  <si>
    <t>Franco Miranda / Alonso Urrutia / Vicente Palma</t>
  </si>
  <si>
    <t xml:space="preserve">Alonso Urrutia / Vicente Palma </t>
  </si>
  <si>
    <t xml:space="preserve">Felipe Chávez / Alonso Urrutia </t>
  </si>
  <si>
    <t xml:space="preserve"> Alonso Urrutia / Vicente Palma</t>
  </si>
  <si>
    <t xml:space="preserve">Felipe Chávez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</si>
</sst>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\-mm\-yyyy"/>
  </numFmts>
  <fonts count="24" x14ac:knownFonts="1">
    <font>
      <sz val="10"/>
      <color rgb="FF000000"/>
      <name val="Arial"/>
    </font>
    <font>
      <sz val="10"/>
      <color theme="1"/>
      <name val="Century Gothic"/>
      <family val="1"/>
    </font>
    <font>
      <sz val="10"/>
      <color theme="1"/>
      <name val="Arial"/>
      <family val="2"/>
    </font>
    <font>
      <sz val="10"/>
      <name val="Arial"/>
      <family val="2"/>
    </font>
    <font>
      <b/>
      <sz val="18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theme="1"/>
      <name val="Century Gothic"/>
      <family val="1"/>
    </font>
    <font>
      <sz val="10"/>
      <color rgb="FF000000"/>
      <name val="Century Gothic"/>
      <family val="1"/>
    </font>
    <font>
      <b/>
      <sz val="10"/>
      <color theme="1"/>
      <name val="Century Gothic"/>
      <family val="1"/>
    </font>
    <font>
      <sz val="10"/>
      <color rgb="FFFFFFFF"/>
      <name val="Arial"/>
      <family val="2"/>
    </font>
    <font>
      <sz val="11"/>
      <color rgb="FF000000"/>
      <name val="Century Gothic"/>
      <family val="1"/>
    </font>
    <font>
      <sz val="10"/>
      <color rgb="FF000000"/>
      <name val="Century Gothic"/>
      <family val="1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Century Gothic"/>
      <family val="1"/>
    </font>
    <font>
      <b/>
      <sz val="18"/>
      <color rgb="FF000000"/>
      <name val="Century Gothic"/>
      <family val="1"/>
    </font>
    <font>
      <b/>
      <sz val="10"/>
      <color rgb="FFFFFFFF"/>
      <name val="Century Gothic"/>
      <family val="1"/>
    </font>
    <font>
      <sz val="409.55"/>
      <color rgb="FF000000"/>
      <name val="Calibri"/>
      <family val="2"/>
    </font>
    <font>
      <sz val="409.55"/>
      <color rgb="FF000000"/>
      <name val="Arial"/>
      <family val="2"/>
    </font>
    <font>
      <sz val="11"/>
      <color theme="1"/>
      <name val="Century Gothic"/>
      <family val="2"/>
    </font>
    <font>
      <sz val="11"/>
      <color rgb="FF000000"/>
      <name val="Arial"/>
      <family val="2"/>
    </font>
    <font>
      <b/>
      <sz val="10"/>
      <color theme="2"/>
      <name val="Century Gothic"/>
      <family val="1"/>
    </font>
    <font>
      <b/>
      <sz val="10"/>
      <color theme="0"/>
      <name val="Century Gothic"/>
      <family val="1"/>
    </font>
  </fonts>
  <fills count="2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CC99"/>
      </patternFill>
    </fill>
    <fill>
      <patternFill patternType="solid">
        <fgColor rgb="FFC0C0C0"/>
      </patternFill>
    </fill>
    <fill>
      <patternFill patternType="solid">
        <fgColor theme="0"/>
      </patternFill>
    </fill>
    <fill>
      <patternFill patternType="solid">
        <fgColor rgb="FFFFFF99"/>
      </patternFill>
    </fill>
    <fill>
      <patternFill patternType="solid">
        <fgColor rgb="FFFF0000"/>
      </patternFill>
    </fill>
    <fill>
      <patternFill patternType="solid">
        <fgColor rgb="FFC0C0C0"/>
      </patternFill>
    </fill>
    <fill>
      <patternFill patternType="solid">
        <fgColor rgb="FFD9E1F2"/>
      </patternFill>
    </fill>
    <fill>
      <patternFill patternType="solid">
        <fgColor rgb="FF70AD47"/>
      </patternFill>
    </fill>
    <fill>
      <patternFill patternType="solid">
        <fgColor rgb="FFFFD966"/>
      </patternFill>
    </fill>
    <fill>
      <patternFill patternType="solid">
        <fgColor rgb="FFF4B183"/>
      </patternFill>
    </fill>
    <fill>
      <patternFill patternType="solid">
        <fgColor rgb="FFFF0000"/>
      </patternFill>
    </fill>
    <fill>
      <patternFill patternType="solid">
        <fgColor rgb="FF00B050"/>
      </patternFill>
    </fill>
    <fill>
      <patternFill patternType="solid">
        <fgColor rgb="FFC00000"/>
      </patternFill>
    </fill>
    <fill>
      <patternFill patternType="solid">
        <fgColor rgb="FF1F4E78"/>
      </patternFill>
    </fill>
    <fill>
      <patternFill patternType="solid">
        <fgColor rgb="FF7030A0"/>
      </patternFill>
    </fill>
    <fill>
      <patternFill patternType="solid">
        <fgColor theme="0"/>
      </patternFill>
    </fill>
    <fill>
      <patternFill patternType="solid">
        <fgColor rgb="FFD9E2F3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9" xfId="0" applyFont="1" applyBorder="1"/>
    <xf numFmtId="0" fontId="2" fillId="0" borderId="11" xfId="0" applyFont="1" applyBorder="1"/>
    <xf numFmtId="0" fontId="1" fillId="2" borderId="13" xfId="0" applyFont="1" applyFill="1" applyBorder="1" applyAlignment="1">
      <alignment vertical="center" wrapText="1"/>
    </xf>
    <xf numFmtId="0" fontId="2" fillId="5" borderId="20" xfId="0" applyFont="1" applyFill="1" applyBorder="1" applyAlignment="1">
      <alignment horizontal="right"/>
    </xf>
    <xf numFmtId="0" fontId="1" fillId="5" borderId="21" xfId="0" applyFont="1" applyFill="1" applyBorder="1" applyAlignment="1">
      <alignment horizontal="center" vertical="center" wrapText="1"/>
    </xf>
    <xf numFmtId="164" fontId="1" fillId="2" borderId="14" xfId="0" applyNumberFormat="1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2" borderId="21" xfId="0" applyFont="1" applyFill="1" applyBorder="1" applyAlignment="1">
      <alignment vertical="center" wrapText="1"/>
    </xf>
    <xf numFmtId="164" fontId="1" fillId="0" borderId="14" xfId="0" applyNumberFormat="1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2" fillId="4" borderId="23" xfId="0" applyFont="1" applyFill="1" applyBorder="1" applyAlignment="1">
      <alignment horizontal="right"/>
    </xf>
    <xf numFmtId="0" fontId="1" fillId="2" borderId="27" xfId="0" applyFont="1" applyFill="1" applyBorder="1" applyAlignment="1">
      <alignment vertical="center" wrapText="1"/>
    </xf>
    <xf numFmtId="0" fontId="1" fillId="2" borderId="34" xfId="0" applyFont="1" applyFill="1" applyBorder="1" applyAlignment="1">
      <alignment vertical="center" wrapText="1"/>
    </xf>
    <xf numFmtId="0" fontId="1" fillId="2" borderId="38" xfId="0" applyFont="1" applyFill="1" applyBorder="1" applyAlignment="1">
      <alignment vertical="center" wrapText="1"/>
    </xf>
    <xf numFmtId="0" fontId="1" fillId="2" borderId="39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40" xfId="0" applyFont="1" applyFill="1" applyBorder="1" applyAlignment="1">
      <alignment vertical="center" wrapText="1"/>
    </xf>
    <xf numFmtId="0" fontId="1" fillId="2" borderId="41" xfId="0" applyFont="1" applyFill="1" applyBorder="1" applyAlignment="1">
      <alignment vertical="center" wrapText="1"/>
    </xf>
    <xf numFmtId="0" fontId="2" fillId="2" borderId="4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3" fillId="8" borderId="14" xfId="0" applyFont="1" applyFill="1" applyBorder="1" applyAlignment="1">
      <alignment horizontal="center" vertical="center" wrapText="1"/>
    </xf>
    <xf numFmtId="0" fontId="13" fillId="9" borderId="14" xfId="0" applyFont="1" applyFill="1" applyBorder="1" applyAlignment="1">
      <alignment horizontal="center" vertical="center" wrapText="1"/>
    </xf>
    <xf numFmtId="0" fontId="14" fillId="10" borderId="14" xfId="0" applyFont="1" applyFill="1" applyBorder="1" applyAlignment="1">
      <alignment horizontal="center" vertical="center" wrapText="1"/>
    </xf>
    <xf numFmtId="0" fontId="13" fillId="11" borderId="14" xfId="0" applyFont="1" applyFill="1" applyBorder="1" applyAlignment="1">
      <alignment horizontal="center" vertical="center" wrapText="1"/>
    </xf>
    <xf numFmtId="0" fontId="13" fillId="12" borderId="14" xfId="0" applyFont="1" applyFill="1" applyBorder="1" applyAlignment="1">
      <alignment horizontal="center" vertical="center" wrapText="1"/>
    </xf>
    <xf numFmtId="0" fontId="14" fillId="13" borderId="14" xfId="0" applyFont="1" applyFill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10" fillId="10" borderId="14" xfId="0" applyFont="1" applyFill="1" applyBorder="1" applyAlignment="1">
      <alignment vertical="center" wrapText="1"/>
    </xf>
    <xf numFmtId="0" fontId="0" fillId="11" borderId="14" xfId="0" applyFill="1" applyBorder="1" applyAlignment="1">
      <alignment vertical="center" wrapText="1"/>
    </xf>
    <xf numFmtId="0" fontId="0" fillId="12" borderId="14" xfId="0" applyFill="1" applyBorder="1" applyAlignment="1">
      <alignment vertical="center" wrapText="1"/>
    </xf>
    <xf numFmtId="0" fontId="10" fillId="13" borderId="14" xfId="0" applyFont="1" applyFill="1" applyBorder="1" applyAlignment="1">
      <alignment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18" borderId="14" xfId="0" applyFont="1" applyFill="1" applyBorder="1" applyAlignment="1">
      <alignment horizontal="center" vertical="center" wrapText="1"/>
    </xf>
    <xf numFmtId="0" fontId="21" fillId="4" borderId="15" xfId="0" applyNumberFormat="1" applyFont="1" applyFill="1" applyBorder="1" applyAlignment="1">
      <alignment horizontal="left" wrapText="1"/>
    </xf>
    <xf numFmtId="0" fontId="21" fillId="4" borderId="16" xfId="0" applyNumberFormat="1" applyFont="1" applyFill="1" applyBorder="1" applyAlignment="1">
      <alignment horizontal="left" wrapText="1"/>
    </xf>
    <xf numFmtId="0" fontId="21" fillId="4" borderId="17" xfId="0" applyNumberFormat="1" applyFont="1" applyFill="1" applyBorder="1" applyAlignment="1">
      <alignment horizontal="left" wrapText="1"/>
    </xf>
    <xf numFmtId="0" fontId="0" fillId="0" borderId="0" xfId="0" applyAlignment="1">
      <alignment horizontal="center"/>
    </xf>
    <xf numFmtId="0" fontId="17" fillId="14" borderId="42" xfId="0" applyFont="1" applyFill="1" applyBorder="1" applyAlignment="1">
      <alignment horizontal="center" vertical="center" wrapText="1"/>
    </xf>
    <xf numFmtId="0" fontId="0" fillId="25" borderId="42" xfId="0" applyNumberFormat="1" applyFont="1" applyFill="1" applyBorder="1" applyAlignment="1">
      <alignment horizontal="center" vertical="center" wrapText="1"/>
    </xf>
    <xf numFmtId="164" fontId="1" fillId="2" borderId="43" xfId="0" applyNumberFormat="1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/>
    </xf>
    <xf numFmtId="0" fontId="1" fillId="18" borderId="43" xfId="0" applyFont="1" applyFill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164" fontId="1" fillId="0" borderId="43" xfId="0" applyNumberFormat="1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0" fillId="0" borderId="24" xfId="0" applyBorder="1" applyAlignment="1">
      <alignment horizontal="center"/>
    </xf>
    <xf numFmtId="0" fontId="1" fillId="4" borderId="44" xfId="0" applyNumberFormat="1" applyFont="1" applyFill="1" applyBorder="1" applyAlignment="1">
      <alignment horizontal="center" vertical="center" wrapText="1"/>
    </xf>
    <xf numFmtId="0" fontId="1" fillId="4" borderId="45" xfId="0" applyNumberFormat="1" applyFont="1" applyFill="1" applyBorder="1" applyAlignment="1">
      <alignment horizontal="center" vertical="center" wrapText="1"/>
    </xf>
    <xf numFmtId="0" fontId="1" fillId="6" borderId="45" xfId="0" applyNumberFormat="1" applyFont="1" applyFill="1" applyBorder="1" applyAlignment="1">
      <alignment horizontal="center" vertical="center" wrapText="1"/>
    </xf>
    <xf numFmtId="0" fontId="13" fillId="19" borderId="45" xfId="0" applyNumberFormat="1" applyFont="1" applyFill="1" applyBorder="1" applyAlignment="1">
      <alignment horizontal="center" vertical="center" wrapText="1"/>
    </xf>
    <xf numFmtId="0" fontId="13" fillId="19" borderId="46" xfId="0" applyNumberFormat="1" applyFont="1" applyFill="1" applyBorder="1" applyAlignment="1">
      <alignment horizontal="center" vertical="center" wrapText="1"/>
    </xf>
    <xf numFmtId="165" fontId="1" fillId="2" borderId="47" xfId="0" applyNumberFormat="1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 wrapText="1"/>
    </xf>
    <xf numFmtId="0" fontId="1" fillId="25" borderId="42" xfId="0" applyFont="1" applyFill="1" applyBorder="1" applyAlignment="1">
      <alignment horizontal="center" vertical="center" wrapText="1"/>
    </xf>
    <xf numFmtId="0" fontId="15" fillId="12" borderId="42" xfId="0" applyFont="1" applyFill="1" applyBorder="1" applyAlignment="1">
      <alignment horizontal="center" vertical="center" wrapText="1"/>
    </xf>
    <xf numFmtId="165" fontId="1" fillId="25" borderId="42" xfId="0" applyNumberFormat="1" applyFont="1" applyFill="1" applyBorder="1" applyAlignment="1">
      <alignment horizontal="center" vertical="center" wrapText="1"/>
    </xf>
    <xf numFmtId="0" fontId="6" fillId="25" borderId="42" xfId="0" applyFont="1" applyFill="1" applyBorder="1" applyAlignment="1">
      <alignment horizontal="center" vertical="center" wrapText="1"/>
    </xf>
    <xf numFmtId="0" fontId="2" fillId="25" borderId="42" xfId="0" applyNumberFormat="1" applyFont="1" applyFill="1" applyBorder="1" applyAlignment="1">
      <alignment horizontal="center" vertical="center" wrapText="1"/>
    </xf>
    <xf numFmtId="165" fontId="0" fillId="25" borderId="48" xfId="0" applyNumberFormat="1" applyFont="1" applyFill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17" fillId="13" borderId="42" xfId="0" applyFont="1" applyFill="1" applyBorder="1" applyAlignment="1">
      <alignment horizontal="center" vertical="center" wrapText="1"/>
    </xf>
    <xf numFmtId="165" fontId="1" fillId="0" borderId="42" xfId="0" applyNumberFormat="1" applyFont="1" applyFill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2" fillId="0" borderId="42" xfId="0" applyNumberFormat="1" applyFont="1" applyFill="1" applyBorder="1" applyAlignment="1">
      <alignment horizontal="center" vertical="center" wrapText="1"/>
    </xf>
    <xf numFmtId="0" fontId="0" fillId="0" borderId="42" xfId="0" applyNumberFormat="1" applyFont="1" applyFill="1" applyBorder="1" applyAlignment="1">
      <alignment horizontal="center" vertical="center" wrapText="1"/>
    </xf>
    <xf numFmtId="165" fontId="0" fillId="0" borderId="48" xfId="0" applyNumberFormat="1" applyFont="1" applyFill="1" applyBorder="1" applyAlignment="1">
      <alignment horizontal="center" vertical="center" wrapText="1"/>
    </xf>
    <xf numFmtId="0" fontId="22" fillId="20" borderId="42" xfId="0" applyFont="1" applyFill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 wrapText="1"/>
    </xf>
    <xf numFmtId="0" fontId="15" fillId="11" borderId="42" xfId="0" applyFont="1" applyFill="1" applyBorder="1" applyAlignment="1">
      <alignment horizontal="center" vertical="center" wrapText="1"/>
    </xf>
    <xf numFmtId="0" fontId="9" fillId="22" borderId="42" xfId="0" applyFont="1" applyFill="1" applyBorder="1" applyAlignment="1">
      <alignment horizontal="center" vertical="center" wrapText="1"/>
    </xf>
    <xf numFmtId="0" fontId="17" fillId="15" borderId="42" xfId="0" applyFont="1" applyFill="1" applyBorder="1" applyAlignment="1">
      <alignment horizontal="center" vertical="center" wrapText="1"/>
    </xf>
    <xf numFmtId="0" fontId="17" fillId="21" borderId="42" xfId="0" applyFont="1" applyFill="1" applyBorder="1" applyAlignment="1">
      <alignment horizontal="center" vertical="center" wrapText="1"/>
    </xf>
    <xf numFmtId="0" fontId="17" fillId="16" borderId="42" xfId="0" applyFont="1" applyFill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0" fontId="17" fillId="24" borderId="42" xfId="0" applyFont="1" applyFill="1" applyBorder="1" applyAlignment="1">
      <alignment horizontal="center" vertical="center" wrapText="1"/>
    </xf>
    <xf numFmtId="0" fontId="17" fillId="17" borderId="42" xfId="0" applyFont="1" applyFill="1" applyBorder="1" applyAlignment="1">
      <alignment horizontal="center" vertical="center" wrapText="1"/>
    </xf>
    <xf numFmtId="165" fontId="1" fillId="2" borderId="49" xfId="0" applyNumberFormat="1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7" fillId="0" borderId="50" xfId="0" applyFont="1" applyBorder="1" applyAlignment="1">
      <alignment horizontal="center" vertical="center" wrapText="1"/>
    </xf>
    <xf numFmtId="0" fontId="23" fillId="23" borderId="50" xfId="0" applyFont="1" applyFill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7" fillId="0" borderId="50" xfId="0" applyFont="1" applyBorder="1" applyAlignment="1">
      <alignment horizontal="center" vertical="center"/>
    </xf>
    <xf numFmtId="0" fontId="1" fillId="7" borderId="50" xfId="0" applyFont="1" applyFill="1" applyBorder="1" applyAlignment="1">
      <alignment horizontal="center" vertical="center" wrapText="1"/>
    </xf>
    <xf numFmtId="164" fontId="1" fillId="0" borderId="50" xfId="0" applyNumberFormat="1" applyFont="1" applyFill="1" applyBorder="1" applyAlignment="1">
      <alignment horizontal="center" vertical="center" wrapText="1"/>
    </xf>
    <xf numFmtId="0" fontId="6" fillId="0" borderId="50" xfId="0" applyFont="1" applyBorder="1" applyAlignment="1">
      <alignment horizontal="center" vertical="center" wrapText="1"/>
    </xf>
    <xf numFmtId="0" fontId="2" fillId="0" borderId="50" xfId="0" applyNumberFormat="1" applyFont="1" applyFill="1" applyBorder="1" applyAlignment="1">
      <alignment horizontal="center" vertical="center" wrapText="1"/>
    </xf>
    <xf numFmtId="0" fontId="0" fillId="0" borderId="50" xfId="0" applyNumberFormat="1" applyFont="1" applyFill="1" applyBorder="1" applyAlignment="1">
      <alignment horizontal="center" vertical="center" wrapText="1"/>
    </xf>
    <xf numFmtId="165" fontId="0" fillId="0" borderId="51" xfId="0" applyNumberFormat="1" applyFont="1" applyFill="1" applyBorder="1" applyAlignment="1">
      <alignment horizontal="center" vertical="center" wrapText="1"/>
    </xf>
    <xf numFmtId="0" fontId="20" fillId="25" borderId="42" xfId="0" applyFont="1" applyFill="1" applyBorder="1" applyAlignment="1">
      <alignment horizontal="center" vertical="center" wrapText="1"/>
    </xf>
    <xf numFmtId="0" fontId="7" fillId="25" borderId="42" xfId="0" applyFont="1" applyFill="1" applyBorder="1" applyAlignment="1">
      <alignment horizontal="center" vertical="center" wrapText="1"/>
    </xf>
    <xf numFmtId="0" fontId="11" fillId="25" borderId="42" xfId="0" applyFont="1" applyFill="1" applyBorder="1" applyAlignment="1">
      <alignment horizontal="center" vertical="center" wrapText="1"/>
    </xf>
    <xf numFmtId="0" fontId="0" fillId="25" borderId="0" xfId="0" applyFill="1"/>
    <xf numFmtId="0" fontId="12" fillId="25" borderId="42" xfId="0" applyFont="1" applyFill="1" applyBorder="1" applyAlignment="1">
      <alignment horizontal="center" vertical="center" wrapText="1"/>
    </xf>
    <xf numFmtId="0" fontId="2" fillId="0" borderId="10" xfId="0" applyFont="1" applyBorder="1"/>
    <xf numFmtId="0" fontId="2" fillId="0" borderId="12" xfId="0" applyFont="1" applyBorder="1"/>
    <xf numFmtId="0" fontId="15" fillId="2" borderId="13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21" fillId="4" borderId="15" xfId="0" applyNumberFormat="1" applyFont="1" applyFill="1" applyBorder="1" applyAlignment="1">
      <alignment horizontal="left" wrapText="1"/>
    </xf>
    <xf numFmtId="0" fontId="21" fillId="0" borderId="16" xfId="0" applyNumberFormat="1" applyFont="1" applyFill="1" applyBorder="1" applyAlignment="1">
      <alignment wrapText="1"/>
    </xf>
    <xf numFmtId="0" fontId="21" fillId="0" borderId="17" xfId="0" applyNumberFormat="1" applyFont="1" applyFill="1" applyBorder="1" applyAlignment="1">
      <alignment wrapText="1"/>
    </xf>
    <xf numFmtId="0" fontId="2" fillId="2" borderId="26" xfId="0" applyFont="1" applyFill="1" applyBorder="1" applyAlignment="1">
      <alignment horizontal="center"/>
    </xf>
    <xf numFmtId="0" fontId="3" fillId="0" borderId="19" xfId="0" applyFont="1" applyBorder="1"/>
    <xf numFmtId="0" fontId="1" fillId="2" borderId="31" xfId="0" applyFont="1" applyFill="1" applyBorder="1" applyAlignment="1">
      <alignment horizontal="center" vertical="center" wrapText="1"/>
    </xf>
    <xf numFmtId="0" fontId="3" fillId="0" borderId="29" xfId="0" applyFont="1" applyBorder="1"/>
    <xf numFmtId="0" fontId="3" fillId="0" borderId="32" xfId="0" applyFont="1" applyBorder="1"/>
    <xf numFmtId="0" fontId="2" fillId="2" borderId="33" xfId="0" applyFont="1" applyFill="1" applyBorder="1" applyAlignment="1">
      <alignment horizontal="center"/>
    </xf>
    <xf numFmtId="0" fontId="1" fillId="2" borderId="23" xfId="0" applyFont="1" applyFill="1" applyBorder="1" applyAlignment="1">
      <alignment vertical="center" wrapText="1"/>
    </xf>
    <xf numFmtId="0" fontId="1" fillId="2" borderId="20" xfId="0" applyFont="1" applyFill="1" applyBorder="1" applyAlignment="1">
      <alignment vertical="center" wrapText="1"/>
    </xf>
    <xf numFmtId="0" fontId="1" fillId="2" borderId="21" xfId="0" applyFont="1" applyFill="1" applyBorder="1" applyAlignment="1">
      <alignment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3" fillId="0" borderId="16" xfId="0" applyFont="1" applyBorder="1"/>
    <xf numFmtId="0" fontId="2" fillId="5" borderId="22" xfId="0" applyFont="1" applyFill="1" applyBorder="1" applyAlignment="1">
      <alignment horizontal="right"/>
    </xf>
    <xf numFmtId="0" fontId="2" fillId="4" borderId="28" xfId="0" applyFont="1" applyFill="1" applyBorder="1" applyAlignment="1">
      <alignment horizontal="left"/>
    </xf>
    <xf numFmtId="0" fontId="3" fillId="0" borderId="30" xfId="0" applyFont="1" applyBorder="1"/>
    <xf numFmtId="0" fontId="0" fillId="0" borderId="0" xfId="0" applyNumberFormat="1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3" fillId="0" borderId="6" xfId="0" applyFont="1" applyBorder="1"/>
    <xf numFmtId="0" fontId="4" fillId="2" borderId="7" xfId="0" applyFont="1" applyFill="1" applyBorder="1" applyAlignment="1">
      <alignment horizontal="center" vertical="center" wrapText="1"/>
    </xf>
    <xf numFmtId="0" fontId="3" fillId="0" borderId="8" xfId="0" applyFont="1" applyBorder="1"/>
    <xf numFmtId="0" fontId="5" fillId="3" borderId="4" xfId="0" applyFont="1" applyFill="1" applyBorder="1" applyAlignment="1">
      <alignment horizontal="left"/>
    </xf>
    <xf numFmtId="0" fontId="1" fillId="5" borderId="18" xfId="0" applyFont="1" applyFill="1" applyBorder="1" applyAlignment="1">
      <alignment horizontal="center" vertical="center" wrapText="1"/>
    </xf>
    <xf numFmtId="0" fontId="13" fillId="8" borderId="14" xfId="0" applyFont="1" applyFill="1" applyBorder="1" applyAlignment="1">
      <alignment horizontal="center" vertical="center" wrapText="1"/>
    </xf>
    <xf numFmtId="0" fontId="3" fillId="0" borderId="25" xfId="0" applyFont="1" applyBorder="1"/>
    <xf numFmtId="0" fontId="9" fillId="3" borderId="35" xfId="0" applyFont="1" applyFill="1" applyBorder="1" applyAlignment="1">
      <alignment horizontal="center" vertical="center" wrapText="1"/>
    </xf>
    <xf numFmtId="0" fontId="3" fillId="0" borderId="36" xfId="0" applyFont="1" applyBorder="1"/>
    <xf numFmtId="0" fontId="3" fillId="0" borderId="37" xfId="0" applyFont="1" applyBorder="1"/>
    <xf numFmtId="165" fontId="1" fillId="2" borderId="18" xfId="0" applyNumberFormat="1" applyFont="1" applyFill="1" applyBorder="1" applyAlignment="1">
      <alignment horizontal="center" vertical="center" wrapText="1"/>
    </xf>
    <xf numFmtId="0" fontId="1" fillId="25" borderId="43" xfId="0" applyFont="1" applyFill="1" applyBorder="1" applyAlignment="1">
      <alignment horizontal="center" vertical="center" wrapText="1"/>
    </xf>
    <xf numFmtId="0" fontId="1" fillId="25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36">
    <dxf>
      <font>
        <b/>
        <color rgb="FF9C0006"/>
      </font>
      <fill>
        <patternFill>
          <bgColor rgb="FFFFC7CE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b/>
        <color rgb="FF000000"/>
      </font>
      <fill>
        <patternFill>
          <bgColor rgb="FFF4B183"/>
        </patternFill>
      </fill>
    </dxf>
    <dxf>
      <font>
        <b/>
        <color rgb="FF000000"/>
      </font>
      <fill>
        <patternFill>
          <bgColor rgb="FFFFD966"/>
        </patternFill>
      </fill>
    </dxf>
    <dxf>
      <font>
        <b/>
        <color rgb="FFFFFFFF"/>
      </font>
      <fill>
        <patternFill>
          <bgColor rgb="FF70AD47"/>
        </patternFill>
      </fill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</dxf>
    <dxf>
      <border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gistroSFI" displayName="RegistroSFI" ref="A6:Z32" totalsRowShown="0" headerRowDxfId="35" dataDxfId="33" headerRowBorderDxfId="34" tableBorderDxfId="32" totalsRowBorderDxfId="31">
  <autoFilter ref="A6:Z32" xr:uid="{00000000-0009-0000-0100-000001000000}"/>
  <tableColumns count="26">
    <tableColumn id="1" xr3:uid="{00000000-0010-0000-0000-000001000000}" name="Fecha _x000a_Identificación" dataDxfId="30"/>
    <tableColumn id="2" xr3:uid="{00000000-0010-0000-0000-000002000000}" name="Nro." dataDxfId="29"/>
    <tableColumn id="3" xr3:uid="{00000000-0010-0000-0000-000003000000}" name="Riesgo/Evento de Riesgo" dataDxfId="28"/>
    <tableColumn id="4" xr3:uid="{00000000-0010-0000-0000-000004000000}" name="Categoría" dataDxfId="27"/>
    <tableColumn id="5" xr3:uid="{00000000-0010-0000-0000-000005000000}" name="Fuente/Causa/_x000a_Condición" dataDxfId="26"/>
    <tableColumn id="6" xr3:uid="{00000000-0010-0000-0000-000006000000}" name="Impacta a/ Consecuencias_x000a_Objetivos Proyecto" dataDxfId="25"/>
    <tableColumn id="7" xr3:uid="{00000000-0010-0000-0000-000007000000}" name="Descripción y Comentarios" dataDxfId="24"/>
    <tableColumn id="8" xr3:uid="{00000000-0010-0000-0000-000008000000}" name="Probabilidad" dataDxfId="23"/>
    <tableColumn id="9" xr3:uid="{00000000-0010-0000-0000-000009000000}" name="Valor de Probabilidad" dataDxfId="22"/>
    <tableColumn id="10" xr3:uid="{00000000-0010-0000-0000-00000A000000}" name="Impacto" dataDxfId="21"/>
    <tableColumn id="11" xr3:uid="{00000000-0010-0000-0000-00000B000000}" name="Valor Impacto" dataDxfId="20"/>
    <tableColumn id="12" xr3:uid="{00000000-0010-0000-0000-00000C000000}" name="Magnitud" dataDxfId="19"/>
    <tableColumn id="13" xr3:uid="{00000000-0010-0000-0000-00000D000000}" name="Asignado a (Responsable)" dataDxfId="18"/>
    <tableColumn id="14" xr3:uid="{00000000-0010-0000-0000-00000E000000}" name="Hito objetivo de tratamiento" dataDxfId="17"/>
    <tableColumn id="15" xr3:uid="{00000000-0010-0000-0000-00000F000000}" name="Estado del riesgo" dataDxfId="16"/>
    <tableColumn id="16" xr3:uid="{00000000-0010-0000-0000-000010000000}" name="combo_probabilidad" dataDxfId="15"/>
    <tableColumn id="17" xr3:uid="{00000000-0010-0000-0000-000011000000}" name="ponderacion_combo_probabilidad" dataDxfId="14"/>
    <tableColumn id="18" xr3:uid="{00000000-0010-0000-0000-000012000000}" name="combo_impacto" dataDxfId="13"/>
    <tableColumn id="19" xr3:uid="{00000000-0010-0000-0000-000013000000}" name="Tipo de estrategia " dataDxfId="12"/>
    <tableColumn id="20" xr3:uid="{00000000-0010-0000-0000-000014000000}" name="Plan de mitigacion " dataDxfId="11"/>
    <tableColumn id="21" xr3:uid="{00000000-0010-0000-0000-000015000000}" name="Código del plan" dataDxfId="10"/>
    <tableColumn id="22" xr3:uid="{00000000-0010-0000-0000-000016000000}" name="Nivel P × I" dataDxfId="9"/>
    <tableColumn id="23" xr3:uid="{00000000-0010-0000-0000-000017000000}" name="Sprint de control" dataDxfId="8"/>
    <tableColumn id="24" xr3:uid="{00000000-0010-0000-0000-000018000000}" name="Señal de alerta" dataDxfId="7"/>
    <tableColumn id="25" xr3:uid="{00000000-0010-0000-0000-000019000000}" name="Evidencia del control" dataDxfId="6"/>
    <tableColumn id="26" xr3:uid="{00000000-0010-0000-0000-00001A000000}" name="Próxima revisión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opLeftCell="A20" workbookViewId="0"/>
  </sheetViews>
  <sheetFormatPr baseColWidth="10" defaultColWidth="12.5" defaultRowHeight="13" x14ac:dyDescent="0.15"/>
  <cols>
    <col min="1" max="1" width="1.83203125" customWidth="1"/>
    <col min="2" max="2" width="17" customWidth="1"/>
    <col min="3" max="3" width="7" customWidth="1"/>
    <col min="4" max="8" width="9" customWidth="1"/>
    <col min="9" max="9" width="2.1640625" customWidth="1"/>
    <col min="10" max="10" width="22" customWidth="1"/>
    <col min="11" max="11" width="12" customWidth="1"/>
    <col min="12" max="12" width="52" customWidth="1"/>
    <col min="13" max="26" width="11.5" customWidth="1"/>
  </cols>
  <sheetData>
    <row r="1" spans="1:12" ht="17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20" customHeight="1" x14ac:dyDescent="0.15">
      <c r="A2" s="1"/>
      <c r="B2" s="125"/>
      <c r="C2" s="126"/>
      <c r="D2" s="126"/>
      <c r="E2" s="126"/>
      <c r="F2" s="126"/>
      <c r="G2" s="127"/>
      <c r="H2" s="128" t="s">
        <v>0</v>
      </c>
      <c r="I2" s="126"/>
      <c r="J2" s="126"/>
      <c r="K2" s="126"/>
      <c r="L2" s="129"/>
    </row>
    <row r="3" spans="1:12" ht="10" customHeight="1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0" customHeight="1" x14ac:dyDescent="0.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7" customHeight="1" x14ac:dyDescent="0.2">
      <c r="A5" s="1"/>
      <c r="B5" s="1"/>
      <c r="C5" s="130" t="s">
        <v>1</v>
      </c>
      <c r="D5" s="126"/>
      <c r="E5" s="126"/>
      <c r="F5" s="126"/>
      <c r="G5" s="126"/>
      <c r="H5" s="126"/>
      <c r="I5" s="126"/>
      <c r="J5" s="126"/>
      <c r="K5" s="126"/>
      <c r="L5" s="129"/>
    </row>
    <row r="6" spans="1:12" ht="32" customHeight="1" x14ac:dyDescent="4.7">
      <c r="A6" s="1"/>
      <c r="B6" s="1"/>
      <c r="C6" s="107" t="s">
        <v>2</v>
      </c>
      <c r="D6" s="108"/>
      <c r="E6" s="108"/>
      <c r="F6" s="109"/>
      <c r="G6" s="131" t="s">
        <v>3</v>
      </c>
      <c r="H6" s="120"/>
      <c r="I6" s="111"/>
      <c r="J6" s="7"/>
      <c r="K6" s="7"/>
      <c r="L6" s="8"/>
    </row>
    <row r="7" spans="1:12" ht="32" customHeight="1" x14ac:dyDescent="4.7">
      <c r="A7" s="1"/>
      <c r="B7" s="1"/>
      <c r="C7" s="107" t="s">
        <v>4</v>
      </c>
      <c r="D7" s="108"/>
      <c r="E7" s="108"/>
      <c r="F7" s="109"/>
      <c r="G7" s="119" t="s">
        <v>5</v>
      </c>
      <c r="H7" s="120"/>
      <c r="I7" s="120"/>
      <c r="J7" s="120"/>
      <c r="K7" s="111"/>
      <c r="L7" s="12"/>
    </row>
    <row r="8" spans="1:12" ht="32" customHeight="1" x14ac:dyDescent="4.7">
      <c r="A8" s="1"/>
      <c r="B8" s="1"/>
      <c r="C8" s="40" t="s">
        <v>6</v>
      </c>
      <c r="D8" s="41"/>
      <c r="E8" s="41"/>
      <c r="F8" s="42"/>
      <c r="G8" s="116" t="s">
        <v>64</v>
      </c>
      <c r="H8" s="117"/>
      <c r="I8" s="117"/>
      <c r="J8" s="117"/>
      <c r="K8" s="117"/>
      <c r="L8" s="118"/>
    </row>
    <row r="9" spans="1:12" ht="32" customHeight="1" x14ac:dyDescent="4.7">
      <c r="A9" s="1"/>
      <c r="B9" s="1"/>
      <c r="C9" s="40" t="s">
        <v>7</v>
      </c>
      <c r="D9" s="41"/>
      <c r="E9" s="41"/>
      <c r="F9" s="42"/>
      <c r="G9" s="119" t="s">
        <v>64</v>
      </c>
      <c r="H9" s="120"/>
      <c r="I9" s="120"/>
      <c r="J9" s="120"/>
      <c r="K9" s="120"/>
      <c r="L9" s="133"/>
    </row>
    <row r="10" spans="1:12" ht="32" customHeight="1" x14ac:dyDescent="4.7">
      <c r="A10" s="1"/>
      <c r="B10" s="1"/>
      <c r="C10" s="107" t="s">
        <v>8</v>
      </c>
      <c r="D10" s="108"/>
      <c r="E10" s="108"/>
      <c r="F10" s="109"/>
      <c r="G10" s="137">
        <v>46244</v>
      </c>
      <c r="H10" s="120"/>
      <c r="I10" s="111"/>
      <c r="J10" s="110"/>
      <c r="K10" s="111"/>
      <c r="L10" s="12"/>
    </row>
    <row r="11" spans="1:12" ht="32" customHeight="1" x14ac:dyDescent="4.7">
      <c r="A11" s="1"/>
      <c r="B11" s="1"/>
      <c r="C11" s="107" t="s">
        <v>9</v>
      </c>
      <c r="D11" s="108"/>
      <c r="E11" s="108"/>
      <c r="F11" s="109"/>
      <c r="G11" s="137">
        <v>46367</v>
      </c>
      <c r="H11" s="120"/>
      <c r="I11" s="111"/>
      <c r="J11" s="110"/>
      <c r="K11" s="111"/>
      <c r="L11" s="12"/>
    </row>
    <row r="12" spans="1:12" ht="48" customHeight="1" x14ac:dyDescent="5.55">
      <c r="A12" s="1"/>
      <c r="B12" s="1"/>
      <c r="C12" s="107" t="s">
        <v>10</v>
      </c>
      <c r="D12" s="108"/>
      <c r="E12" s="108"/>
      <c r="F12" s="109"/>
      <c r="G12" s="119" t="s">
        <v>65</v>
      </c>
      <c r="H12" s="120"/>
      <c r="I12" s="111"/>
      <c r="J12" s="121"/>
      <c r="K12" s="16" t="s">
        <v>11</v>
      </c>
      <c r="L12" s="17" t="s">
        <v>12</v>
      </c>
    </row>
    <row r="13" spans="1:12" ht="32" customHeight="1" x14ac:dyDescent="5.55">
      <c r="A13" s="1"/>
      <c r="B13" s="1"/>
      <c r="C13" s="122" t="s">
        <v>13</v>
      </c>
      <c r="D13" s="113"/>
      <c r="E13" s="113"/>
      <c r="F13" s="123"/>
      <c r="G13" s="112" t="s">
        <v>14</v>
      </c>
      <c r="H13" s="113"/>
      <c r="I13" s="114"/>
      <c r="J13" s="115"/>
      <c r="K13" s="114"/>
      <c r="L13" s="18"/>
    </row>
    <row r="14" spans="1:12" ht="10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0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10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7" customHeight="1" x14ac:dyDescent="0.15">
      <c r="A17" s="1"/>
      <c r="B17" s="134" t="s">
        <v>15</v>
      </c>
      <c r="C17" s="135"/>
      <c r="D17" s="135"/>
      <c r="E17" s="135"/>
      <c r="F17" s="135"/>
      <c r="G17" s="135"/>
      <c r="H17" s="135"/>
      <c r="I17" s="135"/>
      <c r="J17" s="135"/>
      <c r="K17" s="135"/>
      <c r="L17" s="136"/>
    </row>
    <row r="18" spans="1:12" ht="17" customHeight="1" x14ac:dyDescent="0.15">
      <c r="A18" s="1"/>
      <c r="B18" s="19"/>
      <c r="C18" s="1"/>
      <c r="D18" s="1"/>
      <c r="E18" s="1"/>
      <c r="F18" s="1"/>
      <c r="G18" s="1"/>
      <c r="H18" s="1"/>
      <c r="I18" s="1"/>
      <c r="J18" s="1"/>
      <c r="K18" s="1"/>
      <c r="L18" s="20"/>
    </row>
    <row r="19" spans="1:12" ht="36" customHeight="1" x14ac:dyDescent="0.15">
      <c r="A19" s="1"/>
      <c r="B19" s="26"/>
      <c r="C19" s="26"/>
      <c r="D19" s="132" t="s">
        <v>16</v>
      </c>
      <c r="E19" s="132"/>
      <c r="F19" s="132"/>
      <c r="G19" s="132"/>
      <c r="H19" s="132"/>
      <c r="I19" s="21"/>
      <c r="J19" s="27" t="s">
        <v>17</v>
      </c>
      <c r="K19" s="27" t="s">
        <v>18</v>
      </c>
      <c r="L19" s="27" t="s">
        <v>19</v>
      </c>
    </row>
    <row r="20" spans="1:12" ht="36" customHeight="1" x14ac:dyDescent="0.15">
      <c r="A20" s="1"/>
      <c r="B20" s="27" t="s">
        <v>20</v>
      </c>
      <c r="C20" s="27" t="s">
        <v>21</v>
      </c>
      <c r="D20" s="27">
        <v>1</v>
      </c>
      <c r="E20" s="27">
        <v>2</v>
      </c>
      <c r="F20" s="27">
        <v>3</v>
      </c>
      <c r="G20" s="27">
        <v>4</v>
      </c>
      <c r="H20" s="27">
        <v>5</v>
      </c>
      <c r="I20" s="21"/>
      <c r="J20" s="34" t="s">
        <v>22</v>
      </c>
      <c r="K20" s="34">
        <v>1</v>
      </c>
      <c r="L20" s="33" t="s">
        <v>23</v>
      </c>
    </row>
    <row r="21" spans="1:12" ht="36" customHeight="1" x14ac:dyDescent="0.15">
      <c r="A21" s="1"/>
      <c r="B21" s="27" t="s">
        <v>22</v>
      </c>
      <c r="C21" s="28">
        <v>1</v>
      </c>
      <c r="D21" s="29">
        <f t="shared" ref="D21:H25" si="0">$C21*D$20</f>
        <v>1</v>
      </c>
      <c r="E21" s="29">
        <f t="shared" si="0"/>
        <v>2</v>
      </c>
      <c r="F21" s="29">
        <f t="shared" si="0"/>
        <v>3</v>
      </c>
      <c r="G21" s="29">
        <f t="shared" si="0"/>
        <v>4</v>
      </c>
      <c r="H21" s="30">
        <f t="shared" si="0"/>
        <v>5</v>
      </c>
      <c r="I21" s="21"/>
      <c r="J21" s="34" t="s">
        <v>24</v>
      </c>
      <c r="K21" s="34">
        <v>2</v>
      </c>
      <c r="L21" s="33" t="s">
        <v>25</v>
      </c>
    </row>
    <row r="22" spans="1:12" ht="36" customHeight="1" x14ac:dyDescent="0.15">
      <c r="A22" s="1"/>
      <c r="B22" s="27" t="s">
        <v>24</v>
      </c>
      <c r="C22" s="28">
        <v>2</v>
      </c>
      <c r="D22" s="29">
        <f t="shared" si="0"/>
        <v>2</v>
      </c>
      <c r="E22" s="29">
        <f t="shared" si="0"/>
        <v>4</v>
      </c>
      <c r="F22" s="30">
        <f t="shared" si="0"/>
        <v>6</v>
      </c>
      <c r="G22" s="30">
        <f t="shared" si="0"/>
        <v>8</v>
      </c>
      <c r="H22" s="31">
        <f t="shared" si="0"/>
        <v>10</v>
      </c>
      <c r="I22" s="21"/>
      <c r="J22" s="35" t="s">
        <v>26</v>
      </c>
      <c r="K22" s="35">
        <v>3</v>
      </c>
      <c r="L22" s="33" t="s">
        <v>27</v>
      </c>
    </row>
    <row r="23" spans="1:12" ht="36" customHeight="1" x14ac:dyDescent="0.15">
      <c r="A23" s="1"/>
      <c r="B23" s="27" t="s">
        <v>26</v>
      </c>
      <c r="C23" s="28">
        <v>3</v>
      </c>
      <c r="D23" s="29">
        <f t="shared" si="0"/>
        <v>3</v>
      </c>
      <c r="E23" s="30">
        <f t="shared" si="0"/>
        <v>6</v>
      </c>
      <c r="F23" s="30">
        <f t="shared" si="0"/>
        <v>9</v>
      </c>
      <c r="G23" s="31">
        <f t="shared" si="0"/>
        <v>12</v>
      </c>
      <c r="H23" s="31">
        <f t="shared" si="0"/>
        <v>15</v>
      </c>
      <c r="I23" s="21"/>
      <c r="J23" s="36" t="s">
        <v>28</v>
      </c>
      <c r="K23" s="36">
        <v>4</v>
      </c>
      <c r="L23" s="33" t="s">
        <v>29</v>
      </c>
    </row>
    <row r="24" spans="1:12" ht="36" customHeight="1" x14ac:dyDescent="0.15">
      <c r="A24" s="1"/>
      <c r="B24" s="27" t="s">
        <v>28</v>
      </c>
      <c r="C24" s="28">
        <v>4</v>
      </c>
      <c r="D24" s="29">
        <f t="shared" si="0"/>
        <v>4</v>
      </c>
      <c r="E24" s="30">
        <f t="shared" si="0"/>
        <v>8</v>
      </c>
      <c r="F24" s="31">
        <f t="shared" si="0"/>
        <v>12</v>
      </c>
      <c r="G24" s="31">
        <f t="shared" si="0"/>
        <v>16</v>
      </c>
      <c r="H24" s="32">
        <f t="shared" si="0"/>
        <v>20</v>
      </c>
      <c r="I24" s="21"/>
      <c r="J24" s="37" t="s">
        <v>30</v>
      </c>
      <c r="K24" s="37">
        <v>5</v>
      </c>
      <c r="L24" s="33" t="s">
        <v>31</v>
      </c>
    </row>
    <row r="25" spans="1:12" ht="36" customHeight="1" x14ac:dyDescent="0.15">
      <c r="A25" s="1"/>
      <c r="B25" s="27" t="s">
        <v>30</v>
      </c>
      <c r="C25" s="28">
        <v>5</v>
      </c>
      <c r="D25" s="30">
        <f t="shared" si="0"/>
        <v>5</v>
      </c>
      <c r="E25" s="31">
        <f t="shared" si="0"/>
        <v>10</v>
      </c>
      <c r="F25" s="31">
        <f t="shared" si="0"/>
        <v>15</v>
      </c>
      <c r="G25" s="32">
        <f t="shared" si="0"/>
        <v>20</v>
      </c>
      <c r="H25" s="32">
        <f t="shared" si="0"/>
        <v>25</v>
      </c>
      <c r="I25" s="21"/>
    </row>
    <row r="26" spans="1:12" ht="36" customHeight="1" x14ac:dyDescent="0.15">
      <c r="A26" s="1"/>
      <c r="B26" s="19"/>
      <c r="C26" s="1"/>
      <c r="D26" s="21"/>
      <c r="E26" s="21"/>
      <c r="F26" s="1"/>
      <c r="G26" s="1"/>
      <c r="H26" s="21"/>
      <c r="I26" s="1"/>
      <c r="J26" s="27" t="s">
        <v>32</v>
      </c>
      <c r="K26" s="27" t="s">
        <v>18</v>
      </c>
      <c r="L26" s="27" t="s">
        <v>19</v>
      </c>
    </row>
    <row r="27" spans="1:12" ht="36" customHeight="1" x14ac:dyDescent="0.15">
      <c r="A27" s="1"/>
      <c r="B27" s="19"/>
      <c r="C27" s="1"/>
      <c r="D27" s="21"/>
      <c r="E27" s="21"/>
      <c r="F27" s="1"/>
      <c r="G27" s="1"/>
      <c r="H27" s="1"/>
      <c r="I27" s="1"/>
      <c r="J27" s="34" t="s">
        <v>33</v>
      </c>
      <c r="K27" s="34">
        <v>1</v>
      </c>
      <c r="L27" s="33" t="s">
        <v>34</v>
      </c>
    </row>
    <row r="28" spans="1:12" ht="36" customHeight="1" x14ac:dyDescent="0.15">
      <c r="A28" s="1"/>
      <c r="B28" s="22"/>
      <c r="C28" s="23"/>
      <c r="D28" s="24"/>
      <c r="E28" s="24"/>
      <c r="F28" s="23"/>
      <c r="G28" s="23"/>
      <c r="H28" s="23"/>
      <c r="I28" s="23"/>
      <c r="J28" s="34" t="s">
        <v>35</v>
      </c>
      <c r="K28" s="34">
        <v>2</v>
      </c>
      <c r="L28" s="33" t="s">
        <v>36</v>
      </c>
    </row>
    <row r="29" spans="1:12" ht="36" customHeight="1" x14ac:dyDescent="0.15">
      <c r="A29" s="1"/>
      <c r="B29" s="1"/>
      <c r="C29" s="1"/>
      <c r="D29" s="21"/>
      <c r="E29" s="21"/>
      <c r="F29" s="1"/>
      <c r="G29" s="1"/>
      <c r="H29" s="1"/>
      <c r="I29" s="1"/>
      <c r="J29" s="35" t="s">
        <v>37</v>
      </c>
      <c r="K29" s="35">
        <v>3</v>
      </c>
      <c r="L29" s="33" t="s">
        <v>38</v>
      </c>
    </row>
    <row r="30" spans="1:12" ht="36" customHeight="1" x14ac:dyDescent="0.15">
      <c r="A30" s="1"/>
      <c r="B30" s="1"/>
      <c r="C30" s="1"/>
      <c r="D30" s="21"/>
      <c r="E30" s="21"/>
      <c r="F30" s="1"/>
      <c r="G30" s="1"/>
      <c r="H30" s="1"/>
      <c r="I30" s="1"/>
      <c r="J30" s="36" t="s">
        <v>39</v>
      </c>
      <c r="K30" s="36">
        <v>4</v>
      </c>
      <c r="L30" s="33" t="s">
        <v>40</v>
      </c>
    </row>
    <row r="31" spans="1:12" ht="36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37" t="s">
        <v>41</v>
      </c>
      <c r="K31" s="37">
        <v>5</v>
      </c>
      <c r="L31" s="33" t="s">
        <v>42</v>
      </c>
    </row>
    <row r="32" spans="1:12" ht="17" customHeight="1" x14ac:dyDescent="0.15"/>
    <row r="33" spans="2:8" ht="17" customHeight="1" x14ac:dyDescent="0.15">
      <c r="B33" s="124" t="s">
        <v>66</v>
      </c>
      <c r="C33" s="124"/>
      <c r="D33" s="124"/>
      <c r="E33" s="124"/>
      <c r="F33" s="124"/>
      <c r="G33" s="124"/>
      <c r="H33" s="124"/>
    </row>
    <row r="34" spans="2:8" ht="17" customHeight="1" x14ac:dyDescent="0.15">
      <c r="B34" s="124" t="s">
        <v>67</v>
      </c>
      <c r="C34" s="124"/>
      <c r="D34" s="124"/>
      <c r="E34" s="124"/>
      <c r="F34" s="124"/>
      <c r="G34" s="124"/>
      <c r="H34" s="124"/>
    </row>
    <row r="35" spans="2:8" ht="33.25" customHeight="1" x14ac:dyDescent="0.15">
      <c r="B35" s="124" t="s">
        <v>68</v>
      </c>
      <c r="C35" s="124"/>
      <c r="D35" s="124"/>
      <c r="E35" s="124"/>
      <c r="F35" s="124"/>
      <c r="G35" s="124"/>
      <c r="H35" s="124"/>
    </row>
    <row r="36" spans="2:8" ht="33.25" customHeight="1" x14ac:dyDescent="0.15">
      <c r="B36" s="124"/>
      <c r="C36" s="124"/>
      <c r="D36" s="124"/>
      <c r="E36" s="124"/>
      <c r="F36" s="124"/>
      <c r="G36" s="124"/>
      <c r="H36" s="124"/>
    </row>
    <row r="37" spans="2:8" ht="17" customHeight="1" x14ac:dyDescent="0.15"/>
    <row r="38" spans="2:8" ht="17" customHeight="1" x14ac:dyDescent="0.15"/>
    <row r="39" spans="2:8" ht="17" customHeight="1" x14ac:dyDescent="0.15"/>
    <row r="40" spans="2:8" ht="17" customHeight="1" x14ac:dyDescent="0.15"/>
    <row r="41" spans="2:8" ht="17" customHeight="1" x14ac:dyDescent="0.15"/>
    <row r="42" spans="2:8" ht="17" customHeight="1" x14ac:dyDescent="0.15"/>
    <row r="43" spans="2:8" ht="17" customHeight="1" x14ac:dyDescent="0.15"/>
    <row r="44" spans="2:8" ht="17" customHeight="1" x14ac:dyDescent="0.15"/>
    <row r="45" spans="2:8" ht="17" customHeight="1" x14ac:dyDescent="0.15"/>
    <row r="46" spans="2:8" ht="17" customHeight="1" x14ac:dyDescent="0.15"/>
    <row r="47" spans="2:8" ht="17" customHeight="1" x14ac:dyDescent="0.15"/>
    <row r="48" spans="2:8" ht="17" customHeight="1" x14ac:dyDescent="0.15"/>
    <row r="49" ht="17" customHeight="1" x14ac:dyDescent="0.15"/>
    <row r="50" ht="17" customHeight="1" x14ac:dyDescent="0.15"/>
    <row r="51" ht="17" customHeight="1" x14ac:dyDescent="0.15"/>
    <row r="52" ht="17" customHeight="1" x14ac:dyDescent="0.15"/>
    <row r="53" ht="17" customHeight="1" x14ac:dyDescent="0.15"/>
    <row r="54" ht="17" customHeight="1" x14ac:dyDescent="0.15"/>
    <row r="55" ht="17" customHeight="1" x14ac:dyDescent="0.15"/>
    <row r="56" ht="17" customHeight="1" x14ac:dyDescent="0.15"/>
    <row r="57" ht="17" customHeight="1" x14ac:dyDescent="0.15"/>
    <row r="58" ht="17" customHeight="1" x14ac:dyDescent="0.15"/>
    <row r="59" ht="17" customHeight="1" x14ac:dyDescent="0.15"/>
    <row r="60" ht="17" customHeight="1" x14ac:dyDescent="0.15"/>
    <row r="61" ht="17" customHeight="1" x14ac:dyDescent="0.15"/>
    <row r="62" ht="17" customHeight="1" x14ac:dyDescent="0.15"/>
    <row r="63" ht="17" customHeight="1" x14ac:dyDescent="0.15"/>
    <row r="64" ht="17" customHeight="1" x14ac:dyDescent="0.15"/>
    <row r="65" ht="17" customHeight="1" x14ac:dyDescent="0.15"/>
    <row r="66" ht="17" customHeight="1" x14ac:dyDescent="0.15"/>
    <row r="67" ht="17" customHeight="1" x14ac:dyDescent="0.15"/>
    <row r="68" ht="17" customHeight="1" x14ac:dyDescent="0.15"/>
    <row r="69" ht="17" customHeight="1" x14ac:dyDescent="0.15"/>
    <row r="70" ht="17" customHeight="1" x14ac:dyDescent="0.15"/>
    <row r="71" ht="17" customHeight="1" x14ac:dyDescent="0.15"/>
    <row r="72" ht="17" customHeight="1" x14ac:dyDescent="0.15"/>
    <row r="73" ht="17" customHeight="1" x14ac:dyDescent="0.15"/>
    <row r="74" ht="17" customHeight="1" x14ac:dyDescent="0.15"/>
    <row r="75" ht="17" customHeight="1" x14ac:dyDescent="0.15"/>
    <row r="76" ht="17" customHeight="1" x14ac:dyDescent="0.15"/>
    <row r="77" ht="17" customHeight="1" x14ac:dyDescent="0.15"/>
    <row r="78" ht="17" customHeight="1" x14ac:dyDescent="0.15"/>
    <row r="79" ht="17" customHeight="1" x14ac:dyDescent="0.15"/>
    <row r="80" ht="17" customHeight="1" x14ac:dyDescent="0.15"/>
    <row r="81" ht="17" customHeight="1" x14ac:dyDescent="0.15"/>
    <row r="82" ht="17" customHeight="1" x14ac:dyDescent="0.15"/>
    <row r="83" ht="17" customHeight="1" x14ac:dyDescent="0.15"/>
    <row r="84" ht="17" customHeight="1" x14ac:dyDescent="0.15"/>
    <row r="85" ht="17" customHeight="1" x14ac:dyDescent="0.15"/>
    <row r="86" ht="17" customHeight="1" x14ac:dyDescent="0.15"/>
    <row r="87" ht="17" customHeight="1" x14ac:dyDescent="0.15"/>
    <row r="88" ht="17" customHeight="1" x14ac:dyDescent="0.15"/>
    <row r="89" ht="17" customHeight="1" x14ac:dyDescent="0.15"/>
    <row r="90" ht="17" customHeight="1" x14ac:dyDescent="0.15"/>
    <row r="91" ht="17" customHeight="1" x14ac:dyDescent="0.15"/>
    <row r="92" ht="17" customHeight="1" x14ac:dyDescent="0.15"/>
    <row r="93" ht="17" customHeight="1" x14ac:dyDescent="0.15"/>
    <row r="94" ht="17" customHeight="1" x14ac:dyDescent="0.15"/>
    <row r="95" ht="17" customHeight="1" x14ac:dyDescent="0.15"/>
    <row r="96" ht="17" customHeight="1" x14ac:dyDescent="0.15"/>
    <row r="97" ht="17" customHeight="1" x14ac:dyDescent="0.15"/>
    <row r="98" ht="17" customHeight="1" x14ac:dyDescent="0.15"/>
    <row r="99" ht="17" customHeight="1" x14ac:dyDescent="0.15"/>
    <row r="100" ht="17" customHeight="1" x14ac:dyDescent="0.15"/>
    <row r="101" ht="17" customHeight="1" x14ac:dyDescent="0.15"/>
    <row r="102" ht="17" customHeight="1" x14ac:dyDescent="0.15"/>
    <row r="103" ht="17" customHeight="1" x14ac:dyDescent="0.15"/>
    <row r="104" ht="17" customHeight="1" x14ac:dyDescent="0.15"/>
    <row r="105" ht="17" customHeight="1" x14ac:dyDescent="0.15"/>
    <row r="106" ht="17" customHeight="1" x14ac:dyDescent="0.15"/>
    <row r="107" ht="17" customHeight="1" x14ac:dyDescent="0.15"/>
    <row r="108" ht="17" customHeight="1" x14ac:dyDescent="0.15"/>
    <row r="109" ht="17" customHeight="1" x14ac:dyDescent="0.15"/>
    <row r="110" ht="17" customHeight="1" x14ac:dyDescent="0.15"/>
    <row r="111" ht="17" customHeight="1" x14ac:dyDescent="0.15"/>
    <row r="112" ht="17" customHeight="1" x14ac:dyDescent="0.15"/>
    <row r="113" ht="17" customHeight="1" x14ac:dyDescent="0.15"/>
    <row r="114" ht="17" customHeight="1" x14ac:dyDescent="0.15"/>
    <row r="115" ht="17" customHeight="1" x14ac:dyDescent="0.15"/>
    <row r="116" ht="17" customHeight="1" x14ac:dyDescent="0.15"/>
    <row r="117" ht="17" customHeight="1" x14ac:dyDescent="0.15"/>
    <row r="118" ht="17" customHeight="1" x14ac:dyDescent="0.15"/>
    <row r="119" ht="17" customHeight="1" x14ac:dyDescent="0.15"/>
    <row r="120" ht="17" customHeight="1" x14ac:dyDescent="0.15"/>
    <row r="121" ht="17" customHeight="1" x14ac:dyDescent="0.15"/>
    <row r="122" ht="17" customHeight="1" x14ac:dyDescent="0.15"/>
    <row r="123" ht="17" customHeight="1" x14ac:dyDescent="0.15"/>
    <row r="124" ht="17" customHeight="1" x14ac:dyDescent="0.15"/>
    <row r="125" ht="17" customHeight="1" x14ac:dyDescent="0.15"/>
    <row r="126" ht="17" customHeight="1" x14ac:dyDescent="0.15"/>
    <row r="127" ht="17" customHeight="1" x14ac:dyDescent="0.15"/>
    <row r="128" ht="17" customHeight="1" x14ac:dyDescent="0.15"/>
    <row r="129" ht="17" customHeight="1" x14ac:dyDescent="0.15"/>
    <row r="130" ht="17" customHeight="1" x14ac:dyDescent="0.15"/>
    <row r="131" ht="17" customHeight="1" x14ac:dyDescent="0.15"/>
    <row r="132" ht="17" customHeight="1" x14ac:dyDescent="0.15"/>
    <row r="133" ht="17" customHeight="1" x14ac:dyDescent="0.15"/>
    <row r="134" ht="17" customHeight="1" x14ac:dyDescent="0.15"/>
    <row r="135" ht="17" customHeight="1" x14ac:dyDescent="0.15"/>
    <row r="136" ht="17" customHeight="1" x14ac:dyDescent="0.15"/>
    <row r="137" ht="17" customHeight="1" x14ac:dyDescent="0.15"/>
    <row r="138" ht="17" customHeight="1" x14ac:dyDescent="0.15"/>
    <row r="139" ht="17" customHeight="1" x14ac:dyDescent="0.15"/>
    <row r="140" ht="17" customHeight="1" x14ac:dyDescent="0.15"/>
    <row r="141" ht="17" customHeight="1" x14ac:dyDescent="0.15"/>
    <row r="142" ht="17" customHeight="1" x14ac:dyDescent="0.15"/>
    <row r="143" ht="17" customHeight="1" x14ac:dyDescent="0.15"/>
    <row r="144" ht="17" customHeight="1" x14ac:dyDescent="0.15"/>
    <row r="145" ht="17" customHeight="1" x14ac:dyDescent="0.15"/>
    <row r="146" ht="17" customHeight="1" x14ac:dyDescent="0.15"/>
    <row r="147" ht="17" customHeight="1" x14ac:dyDescent="0.15"/>
    <row r="148" ht="17" customHeight="1" x14ac:dyDescent="0.15"/>
    <row r="149" ht="17" customHeight="1" x14ac:dyDescent="0.15"/>
    <row r="150" ht="17" customHeight="1" x14ac:dyDescent="0.15"/>
    <row r="151" ht="17" customHeight="1" x14ac:dyDescent="0.15"/>
    <row r="152" ht="17" customHeight="1" x14ac:dyDescent="0.15"/>
    <row r="153" ht="17" customHeight="1" x14ac:dyDescent="0.15"/>
    <row r="154" ht="17" customHeight="1" x14ac:dyDescent="0.15"/>
    <row r="155" ht="17" customHeight="1" x14ac:dyDescent="0.15"/>
    <row r="156" ht="17" customHeight="1" x14ac:dyDescent="0.15"/>
    <row r="157" ht="17" customHeight="1" x14ac:dyDescent="0.15"/>
    <row r="158" ht="17" customHeight="1" x14ac:dyDescent="0.15"/>
    <row r="159" ht="17" customHeight="1" x14ac:dyDescent="0.15"/>
    <row r="160" ht="17" customHeight="1" x14ac:dyDescent="0.15"/>
    <row r="161" ht="17" customHeight="1" x14ac:dyDescent="0.15"/>
    <row r="162" ht="17" customHeight="1" x14ac:dyDescent="0.15"/>
    <row r="163" ht="17" customHeight="1" x14ac:dyDescent="0.15"/>
    <row r="164" ht="17" customHeight="1" x14ac:dyDescent="0.15"/>
    <row r="165" ht="17" customHeight="1" x14ac:dyDescent="0.15"/>
    <row r="166" ht="17" customHeight="1" x14ac:dyDescent="0.15"/>
    <row r="167" ht="17" customHeight="1" x14ac:dyDescent="0.15"/>
    <row r="168" ht="17" customHeight="1" x14ac:dyDescent="0.15"/>
    <row r="169" ht="17" customHeight="1" x14ac:dyDescent="0.15"/>
    <row r="170" ht="17" customHeight="1" x14ac:dyDescent="0.15"/>
    <row r="171" ht="17" customHeight="1" x14ac:dyDescent="0.15"/>
    <row r="172" ht="17" customHeight="1" x14ac:dyDescent="0.15"/>
    <row r="173" ht="17" customHeight="1" x14ac:dyDescent="0.15"/>
    <row r="174" ht="17" customHeight="1" x14ac:dyDescent="0.15"/>
    <row r="175" ht="17" customHeight="1" x14ac:dyDescent="0.15"/>
    <row r="176" ht="17" customHeight="1" x14ac:dyDescent="0.15"/>
    <row r="177" ht="17" customHeight="1" x14ac:dyDescent="0.15"/>
    <row r="178" ht="17" customHeight="1" x14ac:dyDescent="0.15"/>
    <row r="179" ht="17" customHeight="1" x14ac:dyDescent="0.15"/>
    <row r="180" ht="17" customHeight="1" x14ac:dyDescent="0.15"/>
    <row r="181" ht="17" customHeight="1" x14ac:dyDescent="0.15"/>
    <row r="182" ht="17" customHeight="1" x14ac:dyDescent="0.15"/>
    <row r="183" ht="17" customHeight="1" x14ac:dyDescent="0.15"/>
    <row r="184" ht="17" customHeight="1" x14ac:dyDescent="0.15"/>
    <row r="185" ht="17" customHeight="1" x14ac:dyDescent="0.15"/>
    <row r="186" ht="17" customHeight="1" x14ac:dyDescent="0.15"/>
    <row r="187" ht="17" customHeight="1" x14ac:dyDescent="0.15"/>
    <row r="188" ht="17" customHeight="1" x14ac:dyDescent="0.15"/>
    <row r="189" ht="17" customHeight="1" x14ac:dyDescent="0.15"/>
    <row r="190" ht="17" customHeight="1" x14ac:dyDescent="0.15"/>
    <row r="191" ht="17" customHeight="1" x14ac:dyDescent="0.15"/>
    <row r="192" ht="17" customHeight="1" x14ac:dyDescent="0.15"/>
    <row r="193" ht="17" customHeight="1" x14ac:dyDescent="0.15"/>
    <row r="194" ht="17" customHeight="1" x14ac:dyDescent="0.15"/>
    <row r="195" ht="17" customHeight="1" x14ac:dyDescent="0.15"/>
    <row r="196" ht="17" customHeight="1" x14ac:dyDescent="0.15"/>
    <row r="197" ht="17" customHeight="1" x14ac:dyDescent="0.15"/>
    <row r="198" ht="17" customHeight="1" x14ac:dyDescent="0.15"/>
    <row r="199" ht="17" customHeight="1" x14ac:dyDescent="0.15"/>
    <row r="200" ht="17" customHeight="1" x14ac:dyDescent="0.15"/>
    <row r="201" ht="17" customHeight="1" x14ac:dyDescent="0.15"/>
    <row r="202" ht="17" customHeight="1" x14ac:dyDescent="0.15"/>
    <row r="203" ht="17" customHeight="1" x14ac:dyDescent="0.15"/>
    <row r="204" ht="17" customHeight="1" x14ac:dyDescent="0.15"/>
    <row r="205" ht="17" customHeight="1" x14ac:dyDescent="0.15"/>
    <row r="206" ht="17" customHeight="1" x14ac:dyDescent="0.15"/>
    <row r="207" ht="17" customHeight="1" x14ac:dyDescent="0.15"/>
    <row r="208" ht="17" customHeight="1" x14ac:dyDescent="0.15"/>
    <row r="209" ht="17" customHeight="1" x14ac:dyDescent="0.15"/>
    <row r="210" ht="17" customHeight="1" x14ac:dyDescent="0.15"/>
    <row r="211" ht="17" customHeight="1" x14ac:dyDescent="0.15"/>
    <row r="212" ht="17" customHeight="1" x14ac:dyDescent="0.15"/>
    <row r="213" ht="17" customHeight="1" x14ac:dyDescent="0.15"/>
    <row r="214" ht="17" customHeight="1" x14ac:dyDescent="0.15"/>
    <row r="215" ht="17" customHeight="1" x14ac:dyDescent="0.15"/>
    <row r="216" ht="17" customHeight="1" x14ac:dyDescent="0.15"/>
    <row r="217" ht="17" customHeight="1" x14ac:dyDescent="0.15"/>
    <row r="218" ht="17" customHeight="1" x14ac:dyDescent="0.15"/>
    <row r="219" ht="17" customHeight="1" x14ac:dyDescent="0.15"/>
    <row r="220" ht="17" customHeight="1" x14ac:dyDescent="0.15"/>
    <row r="221" ht="17" customHeight="1" x14ac:dyDescent="0.15"/>
    <row r="222" ht="17" customHeight="1" x14ac:dyDescent="0.15"/>
    <row r="223" ht="17" customHeight="1" x14ac:dyDescent="0.15"/>
    <row r="224" ht="17" customHeight="1" x14ac:dyDescent="0.15"/>
    <row r="225" ht="17" customHeight="1" x14ac:dyDescent="0.15"/>
    <row r="226" ht="17" customHeight="1" x14ac:dyDescent="0.15"/>
    <row r="227" ht="17" customHeight="1" x14ac:dyDescent="0.15"/>
    <row r="228" ht="17" customHeight="1" x14ac:dyDescent="0.15"/>
    <row r="229" ht="17" customHeight="1" x14ac:dyDescent="0.15"/>
    <row r="230" ht="17" customHeight="1" x14ac:dyDescent="0.15"/>
    <row r="231" ht="17" customHeight="1" x14ac:dyDescent="0.15"/>
    <row r="232" ht="17" customHeight="1" x14ac:dyDescent="0.15"/>
    <row r="233" ht="17" customHeight="1" x14ac:dyDescent="0.15"/>
    <row r="234" ht="17" customHeight="1" x14ac:dyDescent="0.15"/>
    <row r="235" ht="17" customHeight="1" x14ac:dyDescent="0.15"/>
    <row r="236" ht="17" customHeight="1" x14ac:dyDescent="0.15"/>
    <row r="237" ht="17" customHeight="1" x14ac:dyDescent="0.15"/>
    <row r="238" ht="17" customHeight="1" x14ac:dyDescent="0.15"/>
    <row r="239" ht="17" customHeight="1" x14ac:dyDescent="0.15"/>
    <row r="240" ht="17" customHeight="1" x14ac:dyDescent="0.15"/>
    <row r="241" ht="17" customHeight="1" x14ac:dyDescent="0.15"/>
    <row r="242" ht="17" customHeight="1" x14ac:dyDescent="0.15"/>
    <row r="243" ht="17" customHeight="1" x14ac:dyDescent="0.15"/>
    <row r="244" ht="17" customHeight="1" x14ac:dyDescent="0.15"/>
    <row r="245" ht="17" customHeight="1" x14ac:dyDescent="0.15"/>
    <row r="246" ht="17" customHeight="1" x14ac:dyDescent="0.15"/>
    <row r="247" ht="17" customHeight="1" x14ac:dyDescent="0.15"/>
    <row r="248" ht="17" customHeight="1" x14ac:dyDescent="0.15"/>
    <row r="249" ht="17" customHeight="1" x14ac:dyDescent="0.15"/>
    <row r="250" ht="17" customHeight="1" x14ac:dyDescent="0.15"/>
    <row r="251" ht="17" customHeight="1" x14ac:dyDescent="0.15"/>
    <row r="252" ht="17" customHeight="1" x14ac:dyDescent="0.15"/>
    <row r="253" ht="17" customHeight="1" x14ac:dyDescent="0.15"/>
    <row r="254" ht="17" customHeight="1" x14ac:dyDescent="0.15"/>
    <row r="255" ht="17" customHeight="1" x14ac:dyDescent="0.15"/>
    <row r="256" ht="17" customHeight="1" x14ac:dyDescent="0.15"/>
    <row r="257" ht="17" customHeight="1" x14ac:dyDescent="0.15"/>
    <row r="258" ht="17" customHeight="1" x14ac:dyDescent="0.15"/>
    <row r="259" ht="17" customHeight="1" x14ac:dyDescent="0.15"/>
    <row r="260" ht="17" customHeight="1" x14ac:dyDescent="0.15"/>
    <row r="261" ht="17" customHeight="1" x14ac:dyDescent="0.15"/>
    <row r="262" ht="17" customHeight="1" x14ac:dyDescent="0.15"/>
    <row r="263" ht="17" customHeight="1" x14ac:dyDescent="0.15"/>
    <row r="264" ht="17" customHeight="1" x14ac:dyDescent="0.15"/>
    <row r="265" ht="17" customHeight="1" x14ac:dyDescent="0.15"/>
    <row r="266" ht="17" customHeight="1" x14ac:dyDescent="0.15"/>
    <row r="267" ht="17" customHeight="1" x14ac:dyDescent="0.15"/>
    <row r="268" ht="17" customHeight="1" x14ac:dyDescent="0.15"/>
    <row r="269" ht="17" customHeight="1" x14ac:dyDescent="0.15"/>
    <row r="270" ht="17" customHeight="1" x14ac:dyDescent="0.15"/>
    <row r="271" ht="17" customHeight="1" x14ac:dyDescent="0.15"/>
    <row r="272" ht="17" customHeight="1" x14ac:dyDescent="0.15"/>
    <row r="273" ht="17" customHeight="1" x14ac:dyDescent="0.15"/>
    <row r="274" ht="17" customHeight="1" x14ac:dyDescent="0.15"/>
    <row r="275" ht="17" customHeight="1" x14ac:dyDescent="0.15"/>
    <row r="276" ht="17" customHeight="1" x14ac:dyDescent="0.15"/>
    <row r="277" ht="17" customHeight="1" x14ac:dyDescent="0.15"/>
    <row r="278" ht="17" customHeight="1" x14ac:dyDescent="0.15"/>
    <row r="279" ht="17" customHeight="1" x14ac:dyDescent="0.15"/>
    <row r="280" ht="17" customHeight="1" x14ac:dyDescent="0.15"/>
    <row r="281" ht="17" customHeight="1" x14ac:dyDescent="0.15"/>
    <row r="282" ht="17" customHeight="1" x14ac:dyDescent="0.15"/>
    <row r="283" ht="17" customHeight="1" x14ac:dyDescent="0.15"/>
    <row r="284" ht="17" customHeight="1" x14ac:dyDescent="0.15"/>
    <row r="285" ht="17" customHeight="1" x14ac:dyDescent="0.15"/>
    <row r="286" ht="17" customHeight="1" x14ac:dyDescent="0.15"/>
    <row r="287" ht="17" customHeight="1" x14ac:dyDescent="0.15"/>
    <row r="288" ht="17" customHeight="1" x14ac:dyDescent="0.15"/>
    <row r="289" ht="17" customHeight="1" x14ac:dyDescent="0.15"/>
    <row r="290" ht="17" customHeight="1" x14ac:dyDescent="0.15"/>
    <row r="291" ht="17" customHeight="1" x14ac:dyDescent="0.15"/>
    <row r="292" ht="17" customHeight="1" x14ac:dyDescent="0.15"/>
    <row r="293" ht="17" customHeight="1" x14ac:dyDescent="0.15"/>
    <row r="294" ht="17" customHeight="1" x14ac:dyDescent="0.15"/>
    <row r="295" ht="17" customHeight="1" x14ac:dyDescent="0.15"/>
    <row r="296" ht="17" customHeight="1" x14ac:dyDescent="0.15"/>
    <row r="297" ht="17" customHeight="1" x14ac:dyDescent="0.15"/>
    <row r="298" ht="17" customHeight="1" x14ac:dyDescent="0.15"/>
    <row r="299" ht="17" customHeight="1" x14ac:dyDescent="0.15"/>
    <row r="300" ht="17" customHeight="1" x14ac:dyDescent="0.15"/>
    <row r="301" ht="17" customHeight="1" x14ac:dyDescent="0.15"/>
    <row r="302" ht="17" customHeight="1" x14ac:dyDescent="0.15"/>
    <row r="303" ht="17" customHeight="1" x14ac:dyDescent="0.15"/>
    <row r="304" ht="17" customHeight="1" x14ac:dyDescent="0.15"/>
    <row r="305" ht="17" customHeight="1" x14ac:dyDescent="0.15"/>
    <row r="306" ht="17" customHeight="1" x14ac:dyDescent="0.15"/>
    <row r="307" ht="17" customHeight="1" x14ac:dyDescent="0.15"/>
    <row r="308" ht="17" customHeight="1" x14ac:dyDescent="0.15"/>
    <row r="309" ht="17" customHeight="1" x14ac:dyDescent="0.15"/>
    <row r="310" ht="17" customHeight="1" x14ac:dyDescent="0.15"/>
    <row r="311" ht="17" customHeight="1" x14ac:dyDescent="0.15"/>
    <row r="312" ht="17" customHeight="1" x14ac:dyDescent="0.15"/>
    <row r="313" ht="17" customHeight="1" x14ac:dyDescent="0.15"/>
    <row r="314" ht="17" customHeight="1" x14ac:dyDescent="0.15"/>
    <row r="315" ht="17" customHeight="1" x14ac:dyDescent="0.15"/>
    <row r="316" ht="17" customHeight="1" x14ac:dyDescent="0.15"/>
    <row r="317" ht="17" customHeight="1" x14ac:dyDescent="0.15"/>
    <row r="318" ht="17" customHeight="1" x14ac:dyDescent="0.15"/>
    <row r="319" ht="17" customHeight="1" x14ac:dyDescent="0.15"/>
    <row r="320" ht="17" customHeight="1" x14ac:dyDescent="0.15"/>
    <row r="321" ht="17" customHeight="1" x14ac:dyDescent="0.15"/>
    <row r="322" ht="17" customHeight="1" x14ac:dyDescent="0.15"/>
    <row r="323" ht="17" customHeight="1" x14ac:dyDescent="0.15"/>
    <row r="324" ht="17" customHeight="1" x14ac:dyDescent="0.15"/>
    <row r="325" ht="17" customHeight="1" x14ac:dyDescent="0.15"/>
    <row r="326" ht="17" customHeight="1" x14ac:dyDescent="0.15"/>
    <row r="327" ht="17" customHeight="1" x14ac:dyDescent="0.15"/>
    <row r="328" ht="17" customHeight="1" x14ac:dyDescent="0.15"/>
    <row r="329" ht="17" customHeight="1" x14ac:dyDescent="0.15"/>
    <row r="330" ht="17" customHeight="1" x14ac:dyDescent="0.15"/>
    <row r="331" ht="17" customHeight="1" x14ac:dyDescent="0.15"/>
    <row r="332" ht="17" customHeight="1" x14ac:dyDescent="0.15"/>
    <row r="333" ht="17" customHeight="1" x14ac:dyDescent="0.15"/>
    <row r="334" ht="17" customHeight="1" x14ac:dyDescent="0.15"/>
    <row r="335" ht="17" customHeight="1" x14ac:dyDescent="0.15"/>
    <row r="336" ht="17" customHeight="1" x14ac:dyDescent="0.15"/>
    <row r="337" ht="17" customHeight="1" x14ac:dyDescent="0.15"/>
    <row r="338" ht="17" customHeight="1" x14ac:dyDescent="0.15"/>
    <row r="339" ht="17" customHeight="1" x14ac:dyDescent="0.15"/>
    <row r="340" ht="17" customHeight="1" x14ac:dyDescent="0.15"/>
    <row r="341" ht="17" customHeight="1" x14ac:dyDescent="0.15"/>
    <row r="342" ht="17" customHeight="1" x14ac:dyDescent="0.15"/>
    <row r="343" ht="17" customHeight="1" x14ac:dyDescent="0.15"/>
    <row r="344" ht="17" customHeight="1" x14ac:dyDescent="0.15"/>
    <row r="345" ht="17" customHeight="1" x14ac:dyDescent="0.15"/>
    <row r="346" ht="17" customHeight="1" x14ac:dyDescent="0.15"/>
    <row r="347" ht="17" customHeight="1" x14ac:dyDescent="0.15"/>
    <row r="348" ht="17" customHeight="1" x14ac:dyDescent="0.15"/>
    <row r="349" ht="17" customHeight="1" x14ac:dyDescent="0.15"/>
    <row r="350" ht="17" customHeight="1" x14ac:dyDescent="0.15"/>
    <row r="351" ht="17" customHeight="1" x14ac:dyDescent="0.15"/>
    <row r="352" ht="17" customHeight="1" x14ac:dyDescent="0.15"/>
    <row r="353" ht="17" customHeight="1" x14ac:dyDescent="0.15"/>
    <row r="354" ht="17" customHeight="1" x14ac:dyDescent="0.15"/>
    <row r="355" ht="17" customHeight="1" x14ac:dyDescent="0.15"/>
    <row r="356" ht="17" customHeight="1" x14ac:dyDescent="0.15"/>
    <row r="357" ht="17" customHeight="1" x14ac:dyDescent="0.15"/>
    <row r="358" ht="17" customHeight="1" x14ac:dyDescent="0.15"/>
    <row r="359" ht="17" customHeight="1" x14ac:dyDescent="0.15"/>
    <row r="360" ht="17" customHeight="1" x14ac:dyDescent="0.15"/>
    <row r="361" ht="17" customHeight="1" x14ac:dyDescent="0.15"/>
    <row r="362" ht="17" customHeight="1" x14ac:dyDescent="0.15"/>
    <row r="363" ht="17" customHeight="1" x14ac:dyDescent="0.15"/>
    <row r="364" ht="17" customHeight="1" x14ac:dyDescent="0.15"/>
    <row r="365" ht="17" customHeight="1" x14ac:dyDescent="0.15"/>
    <row r="366" ht="17" customHeight="1" x14ac:dyDescent="0.15"/>
    <row r="367" ht="17" customHeight="1" x14ac:dyDescent="0.15"/>
    <row r="368" ht="17" customHeight="1" x14ac:dyDescent="0.15"/>
    <row r="369" ht="17" customHeight="1" x14ac:dyDescent="0.15"/>
    <row r="370" ht="17" customHeight="1" x14ac:dyDescent="0.15"/>
    <row r="371" ht="17" customHeight="1" x14ac:dyDescent="0.15"/>
    <row r="372" ht="17" customHeight="1" x14ac:dyDescent="0.15"/>
    <row r="373" ht="17" customHeight="1" x14ac:dyDescent="0.15"/>
    <row r="374" ht="17" customHeight="1" x14ac:dyDescent="0.15"/>
    <row r="375" ht="17" customHeight="1" x14ac:dyDescent="0.15"/>
    <row r="376" ht="17" customHeight="1" x14ac:dyDescent="0.15"/>
    <row r="377" ht="17" customHeight="1" x14ac:dyDescent="0.15"/>
    <row r="378" ht="17" customHeight="1" x14ac:dyDescent="0.15"/>
    <row r="379" ht="17" customHeight="1" x14ac:dyDescent="0.15"/>
    <row r="380" ht="17" customHeight="1" x14ac:dyDescent="0.15"/>
    <row r="381" ht="17" customHeight="1" x14ac:dyDescent="0.15"/>
    <row r="382" ht="17" customHeight="1" x14ac:dyDescent="0.15"/>
    <row r="383" ht="17" customHeight="1" x14ac:dyDescent="0.15"/>
    <row r="384" ht="17" customHeight="1" x14ac:dyDescent="0.15"/>
    <row r="385" ht="17" customHeight="1" x14ac:dyDescent="0.15"/>
    <row r="386" ht="17" customHeight="1" x14ac:dyDescent="0.15"/>
    <row r="387" ht="17" customHeight="1" x14ac:dyDescent="0.15"/>
    <row r="388" ht="17" customHeight="1" x14ac:dyDescent="0.15"/>
    <row r="389" ht="17" customHeight="1" x14ac:dyDescent="0.15"/>
    <row r="390" ht="17" customHeight="1" x14ac:dyDescent="0.15"/>
    <row r="391" ht="17" customHeight="1" x14ac:dyDescent="0.15"/>
    <row r="392" ht="17" customHeight="1" x14ac:dyDescent="0.15"/>
    <row r="393" ht="17" customHeight="1" x14ac:dyDescent="0.15"/>
    <row r="394" ht="17" customHeight="1" x14ac:dyDescent="0.15"/>
    <row r="395" ht="17" customHeight="1" x14ac:dyDescent="0.15"/>
    <row r="396" ht="17" customHeight="1" x14ac:dyDescent="0.15"/>
    <row r="397" ht="17" customHeight="1" x14ac:dyDescent="0.15"/>
    <row r="398" ht="17" customHeight="1" x14ac:dyDescent="0.15"/>
    <row r="399" ht="17" customHeight="1" x14ac:dyDescent="0.15"/>
    <row r="400" ht="17" customHeight="1" x14ac:dyDescent="0.15"/>
    <row r="401" ht="17" customHeight="1" x14ac:dyDescent="0.15"/>
    <row r="402" ht="17" customHeight="1" x14ac:dyDescent="0.15"/>
    <row r="403" ht="17" customHeight="1" x14ac:dyDescent="0.15"/>
    <row r="404" ht="17" customHeight="1" x14ac:dyDescent="0.15"/>
    <row r="405" ht="17" customHeight="1" x14ac:dyDescent="0.15"/>
    <row r="406" ht="17" customHeight="1" x14ac:dyDescent="0.15"/>
    <row r="407" ht="17" customHeight="1" x14ac:dyDescent="0.15"/>
    <row r="408" ht="17" customHeight="1" x14ac:dyDescent="0.15"/>
    <row r="409" ht="17" customHeight="1" x14ac:dyDescent="0.15"/>
    <row r="410" ht="17" customHeight="1" x14ac:dyDescent="0.15"/>
    <row r="411" ht="17" customHeight="1" x14ac:dyDescent="0.15"/>
    <row r="412" ht="17" customHeight="1" x14ac:dyDescent="0.15"/>
    <row r="413" ht="17" customHeight="1" x14ac:dyDescent="0.15"/>
    <row r="414" ht="17" customHeight="1" x14ac:dyDescent="0.15"/>
    <row r="415" ht="17" customHeight="1" x14ac:dyDescent="0.15"/>
    <row r="416" ht="17" customHeight="1" x14ac:dyDescent="0.15"/>
    <row r="417" ht="17" customHeight="1" x14ac:dyDescent="0.15"/>
    <row r="418" ht="17" customHeight="1" x14ac:dyDescent="0.15"/>
    <row r="419" ht="17" customHeight="1" x14ac:dyDescent="0.15"/>
    <row r="420" ht="17" customHeight="1" x14ac:dyDescent="0.15"/>
    <row r="421" ht="17" customHeight="1" x14ac:dyDescent="0.15"/>
    <row r="422" ht="17" customHeight="1" x14ac:dyDescent="0.15"/>
    <row r="423" ht="17" customHeight="1" x14ac:dyDescent="0.15"/>
    <row r="424" ht="17" customHeight="1" x14ac:dyDescent="0.15"/>
    <row r="425" ht="17" customHeight="1" x14ac:dyDescent="0.15"/>
    <row r="426" ht="17" customHeight="1" x14ac:dyDescent="0.15"/>
    <row r="427" ht="17" customHeight="1" x14ac:dyDescent="0.15"/>
    <row r="428" ht="17" customHeight="1" x14ac:dyDescent="0.15"/>
    <row r="429" ht="17" customHeight="1" x14ac:dyDescent="0.15"/>
    <row r="430" ht="17" customHeight="1" x14ac:dyDescent="0.15"/>
    <row r="431" ht="17" customHeight="1" x14ac:dyDescent="0.15"/>
    <row r="432" ht="17" customHeight="1" x14ac:dyDescent="0.15"/>
    <row r="433" ht="17" customHeight="1" x14ac:dyDescent="0.15"/>
    <row r="434" ht="17" customHeight="1" x14ac:dyDescent="0.15"/>
    <row r="435" ht="17" customHeight="1" x14ac:dyDescent="0.15"/>
    <row r="436" ht="17" customHeight="1" x14ac:dyDescent="0.15"/>
    <row r="437" ht="17" customHeight="1" x14ac:dyDescent="0.15"/>
    <row r="438" ht="17" customHeight="1" x14ac:dyDescent="0.15"/>
    <row r="439" ht="17" customHeight="1" x14ac:dyDescent="0.15"/>
    <row r="440" ht="17" customHeight="1" x14ac:dyDescent="0.15"/>
    <row r="441" ht="17" customHeight="1" x14ac:dyDescent="0.15"/>
    <row r="442" ht="17" customHeight="1" x14ac:dyDescent="0.15"/>
    <row r="443" ht="17" customHeight="1" x14ac:dyDescent="0.15"/>
    <row r="444" ht="17" customHeight="1" x14ac:dyDescent="0.15"/>
    <row r="445" ht="17" customHeight="1" x14ac:dyDescent="0.15"/>
    <row r="446" ht="17" customHeight="1" x14ac:dyDescent="0.15"/>
    <row r="447" ht="17" customHeight="1" x14ac:dyDescent="0.15"/>
    <row r="448" ht="17" customHeight="1" x14ac:dyDescent="0.15"/>
    <row r="449" ht="17" customHeight="1" x14ac:dyDescent="0.15"/>
    <row r="450" ht="17" customHeight="1" x14ac:dyDescent="0.15"/>
    <row r="451" ht="17" customHeight="1" x14ac:dyDescent="0.15"/>
    <row r="452" ht="17" customHeight="1" x14ac:dyDescent="0.15"/>
    <row r="453" ht="17" customHeight="1" x14ac:dyDescent="0.15"/>
    <row r="454" ht="17" customHeight="1" x14ac:dyDescent="0.15"/>
    <row r="455" ht="17" customHeight="1" x14ac:dyDescent="0.15"/>
    <row r="456" ht="17" customHeight="1" x14ac:dyDescent="0.15"/>
    <row r="457" ht="17" customHeight="1" x14ac:dyDescent="0.15"/>
    <row r="458" ht="17" customHeight="1" x14ac:dyDescent="0.15"/>
    <row r="459" ht="17" customHeight="1" x14ac:dyDescent="0.15"/>
    <row r="460" ht="17" customHeight="1" x14ac:dyDescent="0.15"/>
    <row r="461" ht="17" customHeight="1" x14ac:dyDescent="0.15"/>
    <row r="462" ht="17" customHeight="1" x14ac:dyDescent="0.15"/>
    <row r="463" ht="17" customHeight="1" x14ac:dyDescent="0.15"/>
    <row r="464" ht="17" customHeight="1" x14ac:dyDescent="0.15"/>
    <row r="465" ht="17" customHeight="1" x14ac:dyDescent="0.15"/>
    <row r="466" ht="17" customHeight="1" x14ac:dyDescent="0.15"/>
    <row r="467" ht="17" customHeight="1" x14ac:dyDescent="0.15"/>
    <row r="468" ht="17" customHeight="1" x14ac:dyDescent="0.15"/>
    <row r="469" ht="17" customHeight="1" x14ac:dyDescent="0.15"/>
    <row r="470" ht="17" customHeight="1" x14ac:dyDescent="0.15"/>
    <row r="471" ht="17" customHeight="1" x14ac:dyDescent="0.15"/>
    <row r="472" ht="17" customHeight="1" x14ac:dyDescent="0.15"/>
    <row r="473" ht="17" customHeight="1" x14ac:dyDescent="0.15"/>
    <row r="474" ht="17" customHeight="1" x14ac:dyDescent="0.15"/>
    <row r="475" ht="17" customHeight="1" x14ac:dyDescent="0.15"/>
    <row r="476" ht="17" customHeight="1" x14ac:dyDescent="0.15"/>
    <row r="477" ht="17" customHeight="1" x14ac:dyDescent="0.15"/>
    <row r="478" ht="17" customHeight="1" x14ac:dyDescent="0.15"/>
    <row r="479" ht="17" customHeight="1" x14ac:dyDescent="0.15"/>
    <row r="480" ht="17" customHeight="1" x14ac:dyDescent="0.15"/>
    <row r="481" ht="17" customHeight="1" x14ac:dyDescent="0.15"/>
    <row r="482" ht="17" customHeight="1" x14ac:dyDescent="0.15"/>
    <row r="483" ht="17" customHeight="1" x14ac:dyDescent="0.15"/>
    <row r="484" ht="17" customHeight="1" x14ac:dyDescent="0.15"/>
    <row r="485" ht="17" customHeight="1" x14ac:dyDescent="0.15"/>
    <row r="486" ht="17" customHeight="1" x14ac:dyDescent="0.15"/>
    <row r="487" ht="17" customHeight="1" x14ac:dyDescent="0.15"/>
    <row r="488" ht="17" customHeight="1" x14ac:dyDescent="0.15"/>
    <row r="489" ht="17" customHeight="1" x14ac:dyDescent="0.15"/>
    <row r="490" ht="17" customHeight="1" x14ac:dyDescent="0.15"/>
    <row r="491" ht="17" customHeight="1" x14ac:dyDescent="0.15"/>
    <row r="492" ht="17" customHeight="1" x14ac:dyDescent="0.15"/>
    <row r="493" ht="17" customHeight="1" x14ac:dyDescent="0.15"/>
    <row r="494" ht="17" customHeight="1" x14ac:dyDescent="0.15"/>
    <row r="495" ht="17" customHeight="1" x14ac:dyDescent="0.15"/>
    <row r="496" ht="17" customHeight="1" x14ac:dyDescent="0.15"/>
    <row r="497" ht="17" customHeight="1" x14ac:dyDescent="0.15"/>
    <row r="498" ht="17" customHeight="1" x14ac:dyDescent="0.15"/>
    <row r="499" ht="17" customHeight="1" x14ac:dyDescent="0.15"/>
    <row r="500" ht="17" customHeight="1" x14ac:dyDescent="0.15"/>
    <row r="501" ht="17" customHeight="1" x14ac:dyDescent="0.15"/>
    <row r="502" ht="17" customHeight="1" x14ac:dyDescent="0.15"/>
    <row r="503" ht="17" customHeight="1" x14ac:dyDescent="0.15"/>
    <row r="504" ht="17" customHeight="1" x14ac:dyDescent="0.15"/>
    <row r="505" ht="17" customHeight="1" x14ac:dyDescent="0.15"/>
    <row r="506" ht="17" customHeight="1" x14ac:dyDescent="0.15"/>
    <row r="507" ht="17" customHeight="1" x14ac:dyDescent="0.15"/>
    <row r="508" ht="17" customHeight="1" x14ac:dyDescent="0.15"/>
    <row r="509" ht="17" customHeight="1" x14ac:dyDescent="0.15"/>
    <row r="510" ht="17" customHeight="1" x14ac:dyDescent="0.15"/>
    <row r="511" ht="17" customHeight="1" x14ac:dyDescent="0.15"/>
    <row r="512" ht="17" customHeight="1" x14ac:dyDescent="0.15"/>
    <row r="513" ht="17" customHeight="1" x14ac:dyDescent="0.15"/>
    <row r="514" ht="17" customHeight="1" x14ac:dyDescent="0.15"/>
    <row r="515" ht="17" customHeight="1" x14ac:dyDescent="0.15"/>
    <row r="516" ht="17" customHeight="1" x14ac:dyDescent="0.15"/>
    <row r="517" ht="17" customHeight="1" x14ac:dyDescent="0.15"/>
    <row r="518" ht="17" customHeight="1" x14ac:dyDescent="0.15"/>
    <row r="519" ht="17" customHeight="1" x14ac:dyDescent="0.15"/>
    <row r="520" ht="17" customHeight="1" x14ac:dyDescent="0.15"/>
    <row r="521" ht="17" customHeight="1" x14ac:dyDescent="0.15"/>
    <row r="522" ht="17" customHeight="1" x14ac:dyDescent="0.15"/>
    <row r="523" ht="17" customHeight="1" x14ac:dyDescent="0.15"/>
    <row r="524" ht="17" customHeight="1" x14ac:dyDescent="0.15"/>
    <row r="525" ht="17" customHeight="1" x14ac:dyDescent="0.15"/>
    <row r="526" ht="17" customHeight="1" x14ac:dyDescent="0.15"/>
    <row r="527" ht="17" customHeight="1" x14ac:dyDescent="0.15"/>
    <row r="528" ht="17" customHeight="1" x14ac:dyDescent="0.15"/>
    <row r="529" ht="17" customHeight="1" x14ac:dyDescent="0.15"/>
    <row r="530" ht="17" customHeight="1" x14ac:dyDescent="0.15"/>
    <row r="531" ht="17" customHeight="1" x14ac:dyDescent="0.15"/>
    <row r="532" ht="17" customHeight="1" x14ac:dyDescent="0.15"/>
    <row r="533" ht="17" customHeight="1" x14ac:dyDescent="0.15"/>
    <row r="534" ht="17" customHeight="1" x14ac:dyDescent="0.15"/>
    <row r="535" ht="17" customHeight="1" x14ac:dyDescent="0.15"/>
    <row r="536" ht="17" customHeight="1" x14ac:dyDescent="0.15"/>
    <row r="537" ht="17" customHeight="1" x14ac:dyDescent="0.15"/>
    <row r="538" ht="17" customHeight="1" x14ac:dyDescent="0.15"/>
    <row r="539" ht="17" customHeight="1" x14ac:dyDescent="0.15"/>
    <row r="540" ht="17" customHeight="1" x14ac:dyDescent="0.15"/>
    <row r="541" ht="17" customHeight="1" x14ac:dyDescent="0.15"/>
    <row r="542" ht="17" customHeight="1" x14ac:dyDescent="0.15"/>
    <row r="543" ht="17" customHeight="1" x14ac:dyDescent="0.15"/>
    <row r="544" ht="17" customHeight="1" x14ac:dyDescent="0.15"/>
    <row r="545" ht="17" customHeight="1" x14ac:dyDescent="0.15"/>
    <row r="546" ht="17" customHeight="1" x14ac:dyDescent="0.15"/>
    <row r="547" ht="17" customHeight="1" x14ac:dyDescent="0.15"/>
    <row r="548" ht="17" customHeight="1" x14ac:dyDescent="0.15"/>
    <row r="549" ht="17" customHeight="1" x14ac:dyDescent="0.15"/>
    <row r="550" ht="17" customHeight="1" x14ac:dyDescent="0.15"/>
    <row r="551" ht="17" customHeight="1" x14ac:dyDescent="0.15"/>
    <row r="552" ht="17" customHeight="1" x14ac:dyDescent="0.15"/>
    <row r="553" ht="17" customHeight="1" x14ac:dyDescent="0.15"/>
    <row r="554" ht="17" customHeight="1" x14ac:dyDescent="0.15"/>
    <row r="555" ht="17" customHeight="1" x14ac:dyDescent="0.15"/>
    <row r="556" ht="17" customHeight="1" x14ac:dyDescent="0.15"/>
    <row r="557" ht="17" customHeight="1" x14ac:dyDescent="0.15"/>
    <row r="558" ht="17" customHeight="1" x14ac:dyDescent="0.15"/>
    <row r="559" ht="17" customHeight="1" x14ac:dyDescent="0.15"/>
    <row r="560" ht="17" customHeight="1" x14ac:dyDescent="0.15"/>
    <row r="561" ht="17" customHeight="1" x14ac:dyDescent="0.15"/>
    <row r="562" ht="17" customHeight="1" x14ac:dyDescent="0.15"/>
    <row r="563" ht="17" customHeight="1" x14ac:dyDescent="0.15"/>
    <row r="564" ht="17" customHeight="1" x14ac:dyDescent="0.15"/>
    <row r="565" ht="17" customHeight="1" x14ac:dyDescent="0.15"/>
    <row r="566" ht="17" customHeight="1" x14ac:dyDescent="0.15"/>
    <row r="567" ht="17" customHeight="1" x14ac:dyDescent="0.15"/>
    <row r="568" ht="17" customHeight="1" x14ac:dyDescent="0.15"/>
    <row r="569" ht="17" customHeight="1" x14ac:dyDescent="0.15"/>
    <row r="570" ht="17" customHeight="1" x14ac:dyDescent="0.15"/>
    <row r="571" ht="17" customHeight="1" x14ac:dyDescent="0.15"/>
    <row r="572" ht="17" customHeight="1" x14ac:dyDescent="0.15"/>
    <row r="573" ht="17" customHeight="1" x14ac:dyDescent="0.15"/>
    <row r="574" ht="17" customHeight="1" x14ac:dyDescent="0.15"/>
    <row r="575" ht="17" customHeight="1" x14ac:dyDescent="0.15"/>
    <row r="576" ht="17" customHeight="1" x14ac:dyDescent="0.15"/>
    <row r="577" ht="17" customHeight="1" x14ac:dyDescent="0.15"/>
    <row r="578" ht="17" customHeight="1" x14ac:dyDescent="0.15"/>
    <row r="579" ht="17" customHeight="1" x14ac:dyDescent="0.15"/>
    <row r="580" ht="17" customHeight="1" x14ac:dyDescent="0.15"/>
    <row r="581" ht="17" customHeight="1" x14ac:dyDescent="0.15"/>
    <row r="582" ht="17" customHeight="1" x14ac:dyDescent="0.15"/>
    <row r="583" ht="17" customHeight="1" x14ac:dyDescent="0.15"/>
    <row r="584" ht="17" customHeight="1" x14ac:dyDescent="0.15"/>
    <row r="585" ht="17" customHeight="1" x14ac:dyDescent="0.15"/>
    <row r="586" ht="17" customHeight="1" x14ac:dyDescent="0.15"/>
    <row r="587" ht="17" customHeight="1" x14ac:dyDescent="0.15"/>
    <row r="588" ht="17" customHeight="1" x14ac:dyDescent="0.15"/>
    <row r="589" ht="17" customHeight="1" x14ac:dyDescent="0.15"/>
    <row r="590" ht="17" customHeight="1" x14ac:dyDescent="0.15"/>
    <row r="591" ht="17" customHeight="1" x14ac:dyDescent="0.15"/>
    <row r="592" ht="17" customHeight="1" x14ac:dyDescent="0.15"/>
    <row r="593" ht="17" customHeight="1" x14ac:dyDescent="0.15"/>
    <row r="594" ht="17" customHeight="1" x14ac:dyDescent="0.15"/>
    <row r="595" ht="17" customHeight="1" x14ac:dyDescent="0.15"/>
    <row r="596" ht="17" customHeight="1" x14ac:dyDescent="0.15"/>
    <row r="597" ht="17" customHeight="1" x14ac:dyDescent="0.15"/>
    <row r="598" ht="17" customHeight="1" x14ac:dyDescent="0.15"/>
    <row r="599" ht="17" customHeight="1" x14ac:dyDescent="0.15"/>
    <row r="600" ht="17" customHeight="1" x14ac:dyDescent="0.15"/>
    <row r="601" ht="17" customHeight="1" x14ac:dyDescent="0.15"/>
    <row r="602" ht="17" customHeight="1" x14ac:dyDescent="0.15"/>
    <row r="603" ht="17" customHeight="1" x14ac:dyDescent="0.15"/>
    <row r="604" ht="17" customHeight="1" x14ac:dyDescent="0.15"/>
    <row r="605" ht="17" customHeight="1" x14ac:dyDescent="0.15"/>
    <row r="606" ht="17" customHeight="1" x14ac:dyDescent="0.15"/>
    <row r="607" ht="17" customHeight="1" x14ac:dyDescent="0.15"/>
    <row r="608" ht="17" customHeight="1" x14ac:dyDescent="0.15"/>
    <row r="609" ht="17" customHeight="1" x14ac:dyDescent="0.15"/>
    <row r="610" ht="17" customHeight="1" x14ac:dyDescent="0.15"/>
    <row r="611" ht="17" customHeight="1" x14ac:dyDescent="0.15"/>
    <row r="612" ht="17" customHeight="1" x14ac:dyDescent="0.15"/>
    <row r="613" ht="17" customHeight="1" x14ac:dyDescent="0.15"/>
    <row r="614" ht="17" customHeight="1" x14ac:dyDescent="0.15"/>
    <row r="615" ht="17" customHeight="1" x14ac:dyDescent="0.15"/>
    <row r="616" ht="17" customHeight="1" x14ac:dyDescent="0.15"/>
    <row r="617" ht="17" customHeight="1" x14ac:dyDescent="0.15"/>
    <row r="618" ht="17" customHeight="1" x14ac:dyDescent="0.15"/>
    <row r="619" ht="17" customHeight="1" x14ac:dyDescent="0.15"/>
    <row r="620" ht="17" customHeight="1" x14ac:dyDescent="0.15"/>
    <row r="621" ht="17" customHeight="1" x14ac:dyDescent="0.15"/>
    <row r="622" ht="17" customHeight="1" x14ac:dyDescent="0.15"/>
    <row r="623" ht="17" customHeight="1" x14ac:dyDescent="0.15"/>
    <row r="624" ht="17" customHeight="1" x14ac:dyDescent="0.15"/>
    <row r="625" ht="17" customHeight="1" x14ac:dyDescent="0.15"/>
    <row r="626" ht="17" customHeight="1" x14ac:dyDescent="0.15"/>
    <row r="627" ht="17" customHeight="1" x14ac:dyDescent="0.15"/>
    <row r="628" ht="17" customHeight="1" x14ac:dyDescent="0.15"/>
    <row r="629" ht="17" customHeight="1" x14ac:dyDescent="0.15"/>
    <row r="630" ht="17" customHeight="1" x14ac:dyDescent="0.15"/>
    <row r="631" ht="17" customHeight="1" x14ac:dyDescent="0.15"/>
    <row r="632" ht="17" customHeight="1" x14ac:dyDescent="0.15"/>
    <row r="633" ht="17" customHeight="1" x14ac:dyDescent="0.15"/>
    <row r="634" ht="17" customHeight="1" x14ac:dyDescent="0.15"/>
    <row r="635" ht="17" customHeight="1" x14ac:dyDescent="0.15"/>
    <row r="636" ht="17" customHeight="1" x14ac:dyDescent="0.15"/>
    <row r="637" ht="17" customHeight="1" x14ac:dyDescent="0.15"/>
    <row r="638" ht="17" customHeight="1" x14ac:dyDescent="0.15"/>
    <row r="639" ht="17" customHeight="1" x14ac:dyDescent="0.15"/>
    <row r="640" ht="17" customHeight="1" x14ac:dyDescent="0.15"/>
    <row r="641" ht="17" customHeight="1" x14ac:dyDescent="0.15"/>
    <row r="642" ht="17" customHeight="1" x14ac:dyDescent="0.15"/>
    <row r="643" ht="17" customHeight="1" x14ac:dyDescent="0.15"/>
    <row r="644" ht="17" customHeight="1" x14ac:dyDescent="0.15"/>
    <row r="645" ht="17" customHeight="1" x14ac:dyDescent="0.15"/>
    <row r="646" ht="17" customHeight="1" x14ac:dyDescent="0.15"/>
    <row r="647" ht="17" customHeight="1" x14ac:dyDescent="0.15"/>
    <row r="648" ht="17" customHeight="1" x14ac:dyDescent="0.15"/>
    <row r="649" ht="17" customHeight="1" x14ac:dyDescent="0.15"/>
    <row r="650" ht="17" customHeight="1" x14ac:dyDescent="0.15"/>
    <row r="651" ht="17" customHeight="1" x14ac:dyDescent="0.15"/>
    <row r="652" ht="17" customHeight="1" x14ac:dyDescent="0.15"/>
    <row r="653" ht="17" customHeight="1" x14ac:dyDescent="0.15"/>
    <row r="654" ht="17" customHeight="1" x14ac:dyDescent="0.15"/>
    <row r="655" ht="17" customHeight="1" x14ac:dyDescent="0.15"/>
    <row r="656" ht="17" customHeight="1" x14ac:dyDescent="0.15"/>
    <row r="657" ht="17" customHeight="1" x14ac:dyDescent="0.15"/>
    <row r="658" ht="17" customHeight="1" x14ac:dyDescent="0.15"/>
    <row r="659" ht="17" customHeight="1" x14ac:dyDescent="0.15"/>
    <row r="660" ht="17" customHeight="1" x14ac:dyDescent="0.15"/>
    <row r="661" ht="17" customHeight="1" x14ac:dyDescent="0.15"/>
    <row r="662" ht="17" customHeight="1" x14ac:dyDescent="0.15"/>
    <row r="663" ht="17" customHeight="1" x14ac:dyDescent="0.15"/>
    <row r="664" ht="17" customHeight="1" x14ac:dyDescent="0.15"/>
    <row r="665" ht="17" customHeight="1" x14ac:dyDescent="0.15"/>
    <row r="666" ht="17" customHeight="1" x14ac:dyDescent="0.15"/>
    <row r="667" ht="17" customHeight="1" x14ac:dyDescent="0.15"/>
    <row r="668" ht="17" customHeight="1" x14ac:dyDescent="0.15"/>
    <row r="669" ht="17" customHeight="1" x14ac:dyDescent="0.15"/>
    <row r="670" ht="17" customHeight="1" x14ac:dyDescent="0.15"/>
    <row r="671" ht="17" customHeight="1" x14ac:dyDescent="0.15"/>
    <row r="672" ht="17" customHeight="1" x14ac:dyDescent="0.15"/>
    <row r="673" ht="17" customHeight="1" x14ac:dyDescent="0.15"/>
    <row r="674" ht="17" customHeight="1" x14ac:dyDescent="0.15"/>
    <row r="675" ht="17" customHeight="1" x14ac:dyDescent="0.15"/>
    <row r="676" ht="17" customHeight="1" x14ac:dyDescent="0.15"/>
    <row r="677" ht="17" customHeight="1" x14ac:dyDescent="0.15"/>
    <row r="678" ht="17" customHeight="1" x14ac:dyDescent="0.15"/>
    <row r="679" ht="17" customHeight="1" x14ac:dyDescent="0.15"/>
    <row r="680" ht="17" customHeight="1" x14ac:dyDescent="0.15"/>
    <row r="681" ht="17" customHeight="1" x14ac:dyDescent="0.15"/>
    <row r="682" ht="17" customHeight="1" x14ac:dyDescent="0.15"/>
    <row r="683" ht="17" customHeight="1" x14ac:dyDescent="0.15"/>
    <row r="684" ht="17" customHeight="1" x14ac:dyDescent="0.15"/>
    <row r="685" ht="17" customHeight="1" x14ac:dyDescent="0.15"/>
    <row r="686" ht="17" customHeight="1" x14ac:dyDescent="0.15"/>
    <row r="687" ht="17" customHeight="1" x14ac:dyDescent="0.15"/>
    <row r="688" ht="17" customHeight="1" x14ac:dyDescent="0.15"/>
    <row r="689" ht="17" customHeight="1" x14ac:dyDescent="0.15"/>
    <row r="690" ht="17" customHeight="1" x14ac:dyDescent="0.15"/>
    <row r="691" ht="17" customHeight="1" x14ac:dyDescent="0.15"/>
    <row r="692" ht="17" customHeight="1" x14ac:dyDescent="0.15"/>
    <row r="693" ht="17" customHeight="1" x14ac:dyDescent="0.15"/>
    <row r="694" ht="17" customHeight="1" x14ac:dyDescent="0.15"/>
    <row r="695" ht="17" customHeight="1" x14ac:dyDescent="0.15"/>
    <row r="696" ht="17" customHeight="1" x14ac:dyDescent="0.15"/>
    <row r="697" ht="17" customHeight="1" x14ac:dyDescent="0.15"/>
    <row r="698" ht="17" customHeight="1" x14ac:dyDescent="0.15"/>
    <row r="699" ht="17" customHeight="1" x14ac:dyDescent="0.15"/>
    <row r="700" ht="17" customHeight="1" x14ac:dyDescent="0.15"/>
    <row r="701" ht="17" customHeight="1" x14ac:dyDescent="0.15"/>
    <row r="702" ht="17" customHeight="1" x14ac:dyDescent="0.15"/>
    <row r="703" ht="17" customHeight="1" x14ac:dyDescent="0.15"/>
    <row r="704" ht="17" customHeight="1" x14ac:dyDescent="0.15"/>
    <row r="705" ht="17" customHeight="1" x14ac:dyDescent="0.15"/>
    <row r="706" ht="17" customHeight="1" x14ac:dyDescent="0.15"/>
    <row r="707" ht="17" customHeight="1" x14ac:dyDescent="0.15"/>
    <row r="708" ht="17" customHeight="1" x14ac:dyDescent="0.15"/>
    <row r="709" ht="17" customHeight="1" x14ac:dyDescent="0.15"/>
    <row r="710" ht="17" customHeight="1" x14ac:dyDescent="0.15"/>
    <row r="711" ht="17" customHeight="1" x14ac:dyDescent="0.15"/>
    <row r="712" ht="17" customHeight="1" x14ac:dyDescent="0.15"/>
    <row r="713" ht="17" customHeight="1" x14ac:dyDescent="0.15"/>
    <row r="714" ht="17" customHeight="1" x14ac:dyDescent="0.15"/>
    <row r="715" ht="17" customHeight="1" x14ac:dyDescent="0.15"/>
    <row r="716" ht="17" customHeight="1" x14ac:dyDescent="0.15"/>
    <row r="717" ht="17" customHeight="1" x14ac:dyDescent="0.15"/>
    <row r="718" ht="17" customHeight="1" x14ac:dyDescent="0.15"/>
    <row r="719" ht="17" customHeight="1" x14ac:dyDescent="0.15"/>
    <row r="720" ht="17" customHeight="1" x14ac:dyDescent="0.15"/>
    <row r="721" ht="17" customHeight="1" x14ac:dyDescent="0.15"/>
    <row r="722" ht="17" customHeight="1" x14ac:dyDescent="0.15"/>
    <row r="723" ht="17" customHeight="1" x14ac:dyDescent="0.15"/>
    <row r="724" ht="17" customHeight="1" x14ac:dyDescent="0.15"/>
    <row r="725" ht="17" customHeight="1" x14ac:dyDescent="0.15"/>
    <row r="726" ht="17" customHeight="1" x14ac:dyDescent="0.15"/>
    <row r="727" ht="17" customHeight="1" x14ac:dyDescent="0.15"/>
    <row r="728" ht="17" customHeight="1" x14ac:dyDescent="0.15"/>
    <row r="729" ht="17" customHeight="1" x14ac:dyDescent="0.15"/>
    <row r="730" ht="17" customHeight="1" x14ac:dyDescent="0.15"/>
    <row r="731" ht="17" customHeight="1" x14ac:dyDescent="0.15"/>
    <row r="732" ht="17" customHeight="1" x14ac:dyDescent="0.15"/>
    <row r="733" ht="17" customHeight="1" x14ac:dyDescent="0.15"/>
    <row r="734" ht="17" customHeight="1" x14ac:dyDescent="0.15"/>
    <row r="735" ht="17" customHeight="1" x14ac:dyDescent="0.15"/>
    <row r="736" ht="17" customHeight="1" x14ac:dyDescent="0.15"/>
    <row r="737" ht="17" customHeight="1" x14ac:dyDescent="0.15"/>
    <row r="738" ht="17" customHeight="1" x14ac:dyDescent="0.15"/>
    <row r="739" ht="17" customHeight="1" x14ac:dyDescent="0.15"/>
    <row r="740" ht="17" customHeight="1" x14ac:dyDescent="0.15"/>
    <row r="741" ht="17" customHeight="1" x14ac:dyDescent="0.15"/>
    <row r="742" ht="17" customHeight="1" x14ac:dyDescent="0.15"/>
    <row r="743" ht="17" customHeight="1" x14ac:dyDescent="0.15"/>
    <row r="744" ht="17" customHeight="1" x14ac:dyDescent="0.15"/>
    <row r="745" ht="17" customHeight="1" x14ac:dyDescent="0.15"/>
    <row r="746" ht="17" customHeight="1" x14ac:dyDescent="0.15"/>
    <row r="747" ht="17" customHeight="1" x14ac:dyDescent="0.15"/>
    <row r="748" ht="17" customHeight="1" x14ac:dyDescent="0.15"/>
    <row r="749" ht="17" customHeight="1" x14ac:dyDescent="0.15"/>
    <row r="750" ht="17" customHeight="1" x14ac:dyDescent="0.15"/>
    <row r="751" ht="17" customHeight="1" x14ac:dyDescent="0.15"/>
    <row r="752" ht="17" customHeight="1" x14ac:dyDescent="0.15"/>
    <row r="753" ht="17" customHeight="1" x14ac:dyDescent="0.15"/>
    <row r="754" ht="17" customHeight="1" x14ac:dyDescent="0.15"/>
    <row r="755" ht="17" customHeight="1" x14ac:dyDescent="0.15"/>
    <row r="756" ht="17" customHeight="1" x14ac:dyDescent="0.15"/>
    <row r="757" ht="17" customHeight="1" x14ac:dyDescent="0.15"/>
    <row r="758" ht="17" customHeight="1" x14ac:dyDescent="0.15"/>
    <row r="759" ht="17" customHeight="1" x14ac:dyDescent="0.15"/>
    <row r="760" ht="17" customHeight="1" x14ac:dyDescent="0.15"/>
    <row r="761" ht="17" customHeight="1" x14ac:dyDescent="0.15"/>
    <row r="762" ht="17" customHeight="1" x14ac:dyDescent="0.15"/>
    <row r="763" ht="17" customHeight="1" x14ac:dyDescent="0.15"/>
    <row r="764" ht="17" customHeight="1" x14ac:dyDescent="0.15"/>
    <row r="765" ht="17" customHeight="1" x14ac:dyDescent="0.15"/>
    <row r="766" ht="17" customHeight="1" x14ac:dyDescent="0.15"/>
    <row r="767" ht="17" customHeight="1" x14ac:dyDescent="0.15"/>
    <row r="768" ht="17" customHeight="1" x14ac:dyDescent="0.15"/>
    <row r="769" ht="17" customHeight="1" x14ac:dyDescent="0.15"/>
    <row r="770" ht="17" customHeight="1" x14ac:dyDescent="0.15"/>
    <row r="771" ht="17" customHeight="1" x14ac:dyDescent="0.15"/>
    <row r="772" ht="17" customHeight="1" x14ac:dyDescent="0.15"/>
    <row r="773" ht="17" customHeight="1" x14ac:dyDescent="0.15"/>
    <row r="774" ht="17" customHeight="1" x14ac:dyDescent="0.15"/>
    <row r="775" ht="17" customHeight="1" x14ac:dyDescent="0.15"/>
    <row r="776" ht="17" customHeight="1" x14ac:dyDescent="0.15"/>
    <row r="777" ht="17" customHeight="1" x14ac:dyDescent="0.15"/>
    <row r="778" ht="17" customHeight="1" x14ac:dyDescent="0.15"/>
    <row r="779" ht="17" customHeight="1" x14ac:dyDescent="0.15"/>
    <row r="780" ht="17" customHeight="1" x14ac:dyDescent="0.15"/>
    <row r="781" ht="17" customHeight="1" x14ac:dyDescent="0.15"/>
    <row r="782" ht="17" customHeight="1" x14ac:dyDescent="0.15"/>
    <row r="783" ht="17" customHeight="1" x14ac:dyDescent="0.15"/>
    <row r="784" ht="17" customHeight="1" x14ac:dyDescent="0.15"/>
    <row r="785" ht="17" customHeight="1" x14ac:dyDescent="0.15"/>
    <row r="786" ht="17" customHeight="1" x14ac:dyDescent="0.15"/>
    <row r="787" ht="17" customHeight="1" x14ac:dyDescent="0.15"/>
    <row r="788" ht="17" customHeight="1" x14ac:dyDescent="0.15"/>
    <row r="789" ht="17" customHeight="1" x14ac:dyDescent="0.15"/>
    <row r="790" ht="17" customHeight="1" x14ac:dyDescent="0.15"/>
    <row r="791" ht="17" customHeight="1" x14ac:dyDescent="0.15"/>
    <row r="792" ht="17" customHeight="1" x14ac:dyDescent="0.15"/>
    <row r="793" ht="17" customHeight="1" x14ac:dyDescent="0.15"/>
    <row r="794" ht="17" customHeight="1" x14ac:dyDescent="0.15"/>
    <row r="795" ht="17" customHeight="1" x14ac:dyDescent="0.15"/>
    <row r="796" ht="17" customHeight="1" x14ac:dyDescent="0.15"/>
    <row r="797" ht="17" customHeight="1" x14ac:dyDescent="0.15"/>
    <row r="798" ht="17" customHeight="1" x14ac:dyDescent="0.15"/>
    <row r="799" ht="17" customHeight="1" x14ac:dyDescent="0.15"/>
    <row r="800" ht="17" customHeight="1" x14ac:dyDescent="0.15"/>
    <row r="801" ht="17" customHeight="1" x14ac:dyDescent="0.15"/>
    <row r="802" ht="17" customHeight="1" x14ac:dyDescent="0.15"/>
    <row r="803" ht="17" customHeight="1" x14ac:dyDescent="0.15"/>
    <row r="804" ht="17" customHeight="1" x14ac:dyDescent="0.15"/>
    <row r="805" ht="17" customHeight="1" x14ac:dyDescent="0.15"/>
    <row r="806" ht="17" customHeight="1" x14ac:dyDescent="0.15"/>
    <row r="807" ht="17" customHeight="1" x14ac:dyDescent="0.15"/>
    <row r="808" ht="17" customHeight="1" x14ac:dyDescent="0.15"/>
    <row r="809" ht="17" customHeight="1" x14ac:dyDescent="0.15"/>
    <row r="810" ht="17" customHeight="1" x14ac:dyDescent="0.15"/>
    <row r="811" ht="17" customHeight="1" x14ac:dyDescent="0.15"/>
    <row r="812" ht="17" customHeight="1" x14ac:dyDescent="0.15"/>
    <row r="813" ht="17" customHeight="1" x14ac:dyDescent="0.15"/>
    <row r="814" ht="17" customHeight="1" x14ac:dyDescent="0.15"/>
    <row r="815" ht="17" customHeight="1" x14ac:dyDescent="0.15"/>
    <row r="816" ht="17" customHeight="1" x14ac:dyDescent="0.15"/>
    <row r="817" ht="17" customHeight="1" x14ac:dyDescent="0.15"/>
    <row r="818" ht="17" customHeight="1" x14ac:dyDescent="0.15"/>
    <row r="819" ht="17" customHeight="1" x14ac:dyDescent="0.15"/>
    <row r="820" ht="17" customHeight="1" x14ac:dyDescent="0.15"/>
    <row r="821" ht="17" customHeight="1" x14ac:dyDescent="0.15"/>
    <row r="822" ht="17" customHeight="1" x14ac:dyDescent="0.15"/>
    <row r="823" ht="17" customHeight="1" x14ac:dyDescent="0.15"/>
    <row r="824" ht="17" customHeight="1" x14ac:dyDescent="0.15"/>
    <row r="825" ht="17" customHeight="1" x14ac:dyDescent="0.15"/>
    <row r="826" ht="17" customHeight="1" x14ac:dyDescent="0.15"/>
    <row r="827" ht="17" customHeight="1" x14ac:dyDescent="0.15"/>
    <row r="828" ht="17" customHeight="1" x14ac:dyDescent="0.15"/>
    <row r="829" ht="17" customHeight="1" x14ac:dyDescent="0.15"/>
    <row r="830" ht="17" customHeight="1" x14ac:dyDescent="0.15"/>
    <row r="831" ht="17" customHeight="1" x14ac:dyDescent="0.15"/>
    <row r="832" ht="17" customHeight="1" x14ac:dyDescent="0.15"/>
    <row r="833" ht="17" customHeight="1" x14ac:dyDescent="0.15"/>
    <row r="834" ht="17" customHeight="1" x14ac:dyDescent="0.15"/>
    <row r="835" ht="17" customHeight="1" x14ac:dyDescent="0.15"/>
    <row r="836" ht="17" customHeight="1" x14ac:dyDescent="0.15"/>
    <row r="837" ht="17" customHeight="1" x14ac:dyDescent="0.15"/>
    <row r="838" ht="17" customHeight="1" x14ac:dyDescent="0.15"/>
    <row r="839" ht="17" customHeight="1" x14ac:dyDescent="0.15"/>
    <row r="840" ht="17" customHeight="1" x14ac:dyDescent="0.15"/>
    <row r="841" ht="17" customHeight="1" x14ac:dyDescent="0.15"/>
    <row r="842" ht="17" customHeight="1" x14ac:dyDescent="0.15"/>
    <row r="843" ht="17" customHeight="1" x14ac:dyDescent="0.15"/>
    <row r="844" ht="17" customHeight="1" x14ac:dyDescent="0.15"/>
    <row r="845" ht="17" customHeight="1" x14ac:dyDescent="0.15"/>
    <row r="846" ht="17" customHeight="1" x14ac:dyDescent="0.15"/>
    <row r="847" ht="17" customHeight="1" x14ac:dyDescent="0.15"/>
    <row r="848" ht="17" customHeight="1" x14ac:dyDescent="0.15"/>
    <row r="849" ht="17" customHeight="1" x14ac:dyDescent="0.15"/>
    <row r="850" ht="17" customHeight="1" x14ac:dyDescent="0.15"/>
    <row r="851" ht="17" customHeight="1" x14ac:dyDescent="0.15"/>
    <row r="852" ht="17" customHeight="1" x14ac:dyDescent="0.15"/>
    <row r="853" ht="17" customHeight="1" x14ac:dyDescent="0.15"/>
    <row r="854" ht="17" customHeight="1" x14ac:dyDescent="0.15"/>
    <row r="855" ht="17" customHeight="1" x14ac:dyDescent="0.15"/>
    <row r="856" ht="17" customHeight="1" x14ac:dyDescent="0.15"/>
    <row r="857" ht="17" customHeight="1" x14ac:dyDescent="0.15"/>
    <row r="858" ht="17" customHeight="1" x14ac:dyDescent="0.15"/>
    <row r="859" ht="17" customHeight="1" x14ac:dyDescent="0.15"/>
    <row r="860" ht="17" customHeight="1" x14ac:dyDescent="0.15"/>
    <row r="861" ht="17" customHeight="1" x14ac:dyDescent="0.15"/>
    <row r="862" ht="17" customHeight="1" x14ac:dyDescent="0.15"/>
    <row r="863" ht="17" customHeight="1" x14ac:dyDescent="0.15"/>
    <row r="864" ht="17" customHeight="1" x14ac:dyDescent="0.15"/>
    <row r="865" ht="17" customHeight="1" x14ac:dyDescent="0.15"/>
    <row r="866" ht="17" customHeight="1" x14ac:dyDescent="0.15"/>
    <row r="867" ht="17" customHeight="1" x14ac:dyDescent="0.15"/>
    <row r="868" ht="17" customHeight="1" x14ac:dyDescent="0.15"/>
    <row r="869" ht="17" customHeight="1" x14ac:dyDescent="0.15"/>
    <row r="870" ht="17" customHeight="1" x14ac:dyDescent="0.15"/>
    <row r="871" ht="17" customHeight="1" x14ac:dyDescent="0.15"/>
    <row r="872" ht="17" customHeight="1" x14ac:dyDescent="0.15"/>
    <row r="873" ht="17" customHeight="1" x14ac:dyDescent="0.15"/>
    <row r="874" ht="17" customHeight="1" x14ac:dyDescent="0.15"/>
    <row r="875" ht="17" customHeight="1" x14ac:dyDescent="0.15"/>
    <row r="876" ht="17" customHeight="1" x14ac:dyDescent="0.15"/>
    <row r="877" ht="17" customHeight="1" x14ac:dyDescent="0.15"/>
    <row r="878" ht="17" customHeight="1" x14ac:dyDescent="0.15"/>
    <row r="879" ht="17" customHeight="1" x14ac:dyDescent="0.15"/>
    <row r="880" ht="17" customHeight="1" x14ac:dyDescent="0.15"/>
    <row r="881" ht="17" customHeight="1" x14ac:dyDescent="0.15"/>
    <row r="882" ht="17" customHeight="1" x14ac:dyDescent="0.15"/>
    <row r="883" ht="17" customHeight="1" x14ac:dyDescent="0.15"/>
    <row r="884" ht="17" customHeight="1" x14ac:dyDescent="0.15"/>
    <row r="885" ht="17" customHeight="1" x14ac:dyDescent="0.15"/>
    <row r="886" ht="17" customHeight="1" x14ac:dyDescent="0.15"/>
    <row r="887" ht="17" customHeight="1" x14ac:dyDescent="0.15"/>
    <row r="888" ht="17" customHeight="1" x14ac:dyDescent="0.15"/>
    <row r="889" ht="17" customHeight="1" x14ac:dyDescent="0.15"/>
    <row r="890" ht="17" customHeight="1" x14ac:dyDescent="0.15"/>
    <row r="891" ht="17" customHeight="1" x14ac:dyDescent="0.15"/>
    <row r="892" ht="17" customHeight="1" x14ac:dyDescent="0.15"/>
    <row r="893" ht="17" customHeight="1" x14ac:dyDescent="0.15"/>
    <row r="894" ht="17" customHeight="1" x14ac:dyDescent="0.15"/>
    <row r="895" ht="17" customHeight="1" x14ac:dyDescent="0.15"/>
    <row r="896" ht="17" customHeight="1" x14ac:dyDescent="0.15"/>
    <row r="897" ht="17" customHeight="1" x14ac:dyDescent="0.15"/>
    <row r="898" ht="17" customHeight="1" x14ac:dyDescent="0.15"/>
    <row r="899" ht="17" customHeight="1" x14ac:dyDescent="0.15"/>
    <row r="900" ht="17" customHeight="1" x14ac:dyDescent="0.15"/>
    <row r="901" ht="17" customHeight="1" x14ac:dyDescent="0.15"/>
    <row r="902" ht="17" customHeight="1" x14ac:dyDescent="0.15"/>
    <row r="903" ht="17" customHeight="1" x14ac:dyDescent="0.15"/>
    <row r="904" ht="17" customHeight="1" x14ac:dyDescent="0.15"/>
    <row r="905" ht="17" customHeight="1" x14ac:dyDescent="0.15"/>
    <row r="906" ht="17" customHeight="1" x14ac:dyDescent="0.15"/>
    <row r="907" ht="17" customHeight="1" x14ac:dyDescent="0.15"/>
    <row r="908" ht="17" customHeight="1" x14ac:dyDescent="0.15"/>
    <row r="909" ht="17" customHeight="1" x14ac:dyDescent="0.15"/>
    <row r="910" ht="17" customHeight="1" x14ac:dyDescent="0.15"/>
    <row r="911" ht="17" customHeight="1" x14ac:dyDescent="0.15"/>
    <row r="912" ht="17" customHeight="1" x14ac:dyDescent="0.15"/>
    <row r="913" ht="17" customHeight="1" x14ac:dyDescent="0.15"/>
    <row r="914" ht="17" customHeight="1" x14ac:dyDescent="0.15"/>
    <row r="915" ht="17" customHeight="1" x14ac:dyDescent="0.15"/>
    <row r="916" ht="17" customHeight="1" x14ac:dyDescent="0.15"/>
    <row r="917" ht="17" customHeight="1" x14ac:dyDescent="0.15"/>
    <row r="918" ht="17" customHeight="1" x14ac:dyDescent="0.15"/>
    <row r="919" ht="17" customHeight="1" x14ac:dyDescent="0.15"/>
    <row r="920" ht="17" customHeight="1" x14ac:dyDescent="0.15"/>
    <row r="921" ht="17" customHeight="1" x14ac:dyDescent="0.15"/>
    <row r="922" ht="17" customHeight="1" x14ac:dyDescent="0.15"/>
    <row r="923" ht="17" customHeight="1" x14ac:dyDescent="0.15"/>
    <row r="924" ht="17" customHeight="1" x14ac:dyDescent="0.15"/>
    <row r="925" ht="17" customHeight="1" x14ac:dyDescent="0.15"/>
    <row r="926" ht="17" customHeight="1" x14ac:dyDescent="0.15"/>
    <row r="927" ht="17" customHeight="1" x14ac:dyDescent="0.15"/>
    <row r="928" ht="17" customHeight="1" x14ac:dyDescent="0.15"/>
    <row r="929" ht="17" customHeight="1" x14ac:dyDescent="0.15"/>
    <row r="930" ht="17" customHeight="1" x14ac:dyDescent="0.15"/>
    <row r="931" ht="17" customHeight="1" x14ac:dyDescent="0.15"/>
    <row r="932" ht="17" customHeight="1" x14ac:dyDescent="0.15"/>
    <row r="933" ht="17" customHeight="1" x14ac:dyDescent="0.15"/>
    <row r="934" ht="17" customHeight="1" x14ac:dyDescent="0.15"/>
    <row r="935" ht="17" customHeight="1" x14ac:dyDescent="0.15"/>
    <row r="936" ht="17" customHeight="1" x14ac:dyDescent="0.15"/>
    <row r="937" ht="17" customHeight="1" x14ac:dyDescent="0.15"/>
    <row r="938" ht="17" customHeight="1" x14ac:dyDescent="0.15"/>
    <row r="939" ht="17" customHeight="1" x14ac:dyDescent="0.15"/>
    <row r="940" ht="17" customHeight="1" x14ac:dyDescent="0.15"/>
    <row r="941" ht="17" customHeight="1" x14ac:dyDescent="0.15"/>
    <row r="942" ht="17" customHeight="1" x14ac:dyDescent="0.15"/>
    <row r="943" ht="17" customHeight="1" x14ac:dyDescent="0.15"/>
    <row r="944" ht="17" customHeight="1" x14ac:dyDescent="0.15"/>
    <row r="945" ht="17" customHeight="1" x14ac:dyDescent="0.15"/>
    <row r="946" ht="17" customHeight="1" x14ac:dyDescent="0.15"/>
    <row r="947" ht="17" customHeight="1" x14ac:dyDescent="0.15"/>
    <row r="948" ht="17" customHeight="1" x14ac:dyDescent="0.15"/>
    <row r="949" ht="17" customHeight="1" x14ac:dyDescent="0.15"/>
    <row r="950" ht="17" customHeight="1" x14ac:dyDescent="0.15"/>
    <row r="951" ht="17" customHeight="1" x14ac:dyDescent="0.15"/>
    <row r="952" ht="17" customHeight="1" x14ac:dyDescent="0.15"/>
    <row r="953" ht="17" customHeight="1" x14ac:dyDescent="0.15"/>
    <row r="954" ht="17" customHeight="1" x14ac:dyDescent="0.15"/>
    <row r="955" ht="17" customHeight="1" x14ac:dyDescent="0.15"/>
    <row r="956" ht="17" customHeight="1" x14ac:dyDescent="0.15"/>
    <row r="957" ht="17" customHeight="1" x14ac:dyDescent="0.15"/>
    <row r="958" ht="17" customHeight="1" x14ac:dyDescent="0.15"/>
    <row r="959" ht="17" customHeight="1" x14ac:dyDescent="0.15"/>
    <row r="960" ht="17" customHeight="1" x14ac:dyDescent="0.15"/>
    <row r="961" ht="17" customHeight="1" x14ac:dyDescent="0.15"/>
    <row r="962" ht="17" customHeight="1" x14ac:dyDescent="0.15"/>
    <row r="963" ht="17" customHeight="1" x14ac:dyDescent="0.15"/>
    <row r="964" ht="17" customHeight="1" x14ac:dyDescent="0.15"/>
    <row r="965" ht="17" customHeight="1" x14ac:dyDescent="0.15"/>
    <row r="966" ht="17" customHeight="1" x14ac:dyDescent="0.15"/>
    <row r="967" ht="17" customHeight="1" x14ac:dyDescent="0.15"/>
    <row r="968" ht="17" customHeight="1" x14ac:dyDescent="0.15"/>
    <row r="969" ht="17" customHeight="1" x14ac:dyDescent="0.15"/>
    <row r="970" ht="17" customHeight="1" x14ac:dyDescent="0.15"/>
    <row r="971" ht="17" customHeight="1" x14ac:dyDescent="0.15"/>
    <row r="972" ht="17" customHeight="1" x14ac:dyDescent="0.15"/>
    <row r="973" ht="17" customHeight="1" x14ac:dyDescent="0.15"/>
    <row r="974" ht="17" customHeight="1" x14ac:dyDescent="0.15"/>
    <row r="975" ht="17" customHeight="1" x14ac:dyDescent="0.15"/>
    <row r="976" ht="17" customHeight="1" x14ac:dyDescent="0.15"/>
    <row r="977" ht="17" customHeight="1" x14ac:dyDescent="0.15"/>
    <row r="978" ht="17" customHeight="1" x14ac:dyDescent="0.15"/>
    <row r="979" ht="17" customHeight="1" x14ac:dyDescent="0.15"/>
    <row r="980" ht="17" customHeight="1" x14ac:dyDescent="0.15"/>
    <row r="981" ht="17" customHeight="1" x14ac:dyDescent="0.15"/>
    <row r="982" ht="17" customHeight="1" x14ac:dyDescent="0.15"/>
    <row r="983" ht="17" customHeight="1" x14ac:dyDescent="0.15"/>
    <row r="984" ht="17" customHeight="1" x14ac:dyDescent="0.15"/>
    <row r="985" ht="17" customHeight="1" x14ac:dyDescent="0.15"/>
    <row r="986" ht="17" customHeight="1" x14ac:dyDescent="0.15"/>
    <row r="987" ht="17" customHeight="1" x14ac:dyDescent="0.15"/>
    <row r="988" ht="17" customHeight="1" x14ac:dyDescent="0.15"/>
    <row r="989" ht="17" customHeight="1" x14ac:dyDescent="0.15"/>
    <row r="990" ht="17" customHeight="1" x14ac:dyDescent="0.15"/>
    <row r="991" ht="17" customHeight="1" x14ac:dyDescent="0.15"/>
    <row r="992" ht="17" customHeight="1" x14ac:dyDescent="0.15"/>
    <row r="993" ht="17" customHeight="1" x14ac:dyDescent="0.15"/>
    <row r="994" ht="17" customHeight="1" x14ac:dyDescent="0.15"/>
    <row r="995" ht="17" customHeight="1" x14ac:dyDescent="0.15"/>
    <row r="996" ht="17" customHeight="1" x14ac:dyDescent="0.15"/>
    <row r="997" ht="17" customHeight="1" x14ac:dyDescent="0.15"/>
    <row r="998" ht="17" customHeight="1" x14ac:dyDescent="0.15"/>
    <row r="999" ht="17" customHeight="1" x14ac:dyDescent="0.15"/>
    <row r="1000" ht="17" customHeight="1" x14ac:dyDescent="0.15"/>
  </sheetData>
  <mergeCells count="25">
    <mergeCell ref="B33:H33"/>
    <mergeCell ref="B34:H34"/>
    <mergeCell ref="B35:H36"/>
    <mergeCell ref="B2:G2"/>
    <mergeCell ref="H2:L2"/>
    <mergeCell ref="C5:L5"/>
    <mergeCell ref="C6:F6"/>
    <mergeCell ref="G6:I6"/>
    <mergeCell ref="D19:H19"/>
    <mergeCell ref="G7:K7"/>
    <mergeCell ref="G9:L9"/>
    <mergeCell ref="B17:L17"/>
    <mergeCell ref="G10:I10"/>
    <mergeCell ref="J10:K10"/>
    <mergeCell ref="G11:I11"/>
    <mergeCell ref="G13:I13"/>
    <mergeCell ref="J13:K13"/>
    <mergeCell ref="G8:L8"/>
    <mergeCell ref="G12:J12"/>
    <mergeCell ref="C13:F13"/>
    <mergeCell ref="C7:F7"/>
    <mergeCell ref="C10:F10"/>
    <mergeCell ref="C11:F11"/>
    <mergeCell ref="C12:F12"/>
    <mergeCell ref="J11:K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96"/>
  <sheetViews>
    <sheetView tabSelected="1" workbookViewId="0">
      <pane xSplit="3" ySplit="6" topLeftCell="L7" activePane="bottomRight" state="frozen"/>
      <selection pane="topRight"/>
      <selection pane="bottomLeft"/>
      <selection pane="bottomRight" activeCell="M37" sqref="M37"/>
    </sheetView>
  </sheetViews>
  <sheetFormatPr baseColWidth="10" defaultColWidth="12.5" defaultRowHeight="13" x14ac:dyDescent="0.15"/>
  <cols>
    <col min="1" max="1" width="14.5" customWidth="1"/>
    <col min="2" max="2" width="9.5" customWidth="1"/>
    <col min="3" max="3" width="27.5" customWidth="1"/>
    <col min="4" max="4" width="25.83203125" customWidth="1"/>
    <col min="5" max="5" width="39" customWidth="1"/>
    <col min="6" max="6" width="27.1640625" customWidth="1"/>
    <col min="7" max="7" width="63.5" customWidth="1"/>
    <col min="8" max="8" width="23.5" customWidth="1"/>
    <col min="9" max="9" width="14.5" customWidth="1"/>
    <col min="10" max="10" width="21" customWidth="1"/>
    <col min="11" max="11" width="14.5" customWidth="1"/>
    <col min="12" max="12" width="13.5" customWidth="1"/>
    <col min="13" max="13" width="41" customWidth="1"/>
    <col min="14" max="14" width="34" customWidth="1"/>
    <col min="15" max="15" width="15" hidden="1" customWidth="1"/>
    <col min="16" max="16" width="14.5" hidden="1" customWidth="1"/>
    <col min="17" max="17" width="6.5" hidden="1" customWidth="1"/>
    <col min="18" max="18" width="0.1640625" hidden="1" customWidth="1"/>
    <col min="19" max="19" width="19.1640625" customWidth="1"/>
    <col min="20" max="20" width="70" customWidth="1"/>
    <col min="21" max="21" width="15" customWidth="1"/>
    <col min="22" max="22" width="13" customWidth="1"/>
    <col min="23" max="23" width="23" customWidth="1"/>
    <col min="24" max="24" width="48" customWidth="1"/>
    <col min="25" max="25" width="26" customWidth="1"/>
    <col min="26" max="26" width="19" customWidth="1"/>
  </cols>
  <sheetData>
    <row r="1" spans="1:27" ht="12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7" ht="12.75" customHeight="1" x14ac:dyDescent="0.15">
      <c r="A2" s="1"/>
      <c r="B2" s="2" t="s">
        <v>43</v>
      </c>
      <c r="C2" s="2"/>
      <c r="D2" s="3" t="s">
        <v>3</v>
      </c>
      <c r="E2" s="3" t="s">
        <v>69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7" ht="12.75" customHeight="1" x14ac:dyDescent="0.15">
      <c r="A3" s="1"/>
      <c r="B3" s="4" t="s">
        <v>44</v>
      </c>
      <c r="C3" s="4"/>
      <c r="D3" s="102" t="s">
        <v>5</v>
      </c>
      <c r="E3" s="10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7" ht="12.75" customHeight="1" x14ac:dyDescent="0.15">
      <c r="A4" s="1"/>
      <c r="B4" s="5" t="s">
        <v>45</v>
      </c>
      <c r="C4" s="5"/>
      <c r="D4" s="103" t="s">
        <v>64</v>
      </c>
      <c r="E4" s="10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7" ht="31.5" customHeight="1" x14ac:dyDescent="0.15">
      <c r="A5" s="6"/>
      <c r="B5" s="104" t="s">
        <v>70</v>
      </c>
      <c r="C5" s="104"/>
      <c r="D5" s="105" t="s">
        <v>46</v>
      </c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6"/>
      <c r="P5" s="106"/>
      <c r="Q5" s="106"/>
      <c r="R5" s="106"/>
      <c r="S5" s="106"/>
      <c r="T5" s="106"/>
    </row>
    <row r="6" spans="1:27" ht="50" customHeight="1" x14ac:dyDescent="0.15">
      <c r="A6" s="54" t="s">
        <v>47</v>
      </c>
      <c r="B6" s="55" t="s">
        <v>48</v>
      </c>
      <c r="C6" s="55" t="s">
        <v>49</v>
      </c>
      <c r="D6" s="55" t="s">
        <v>50</v>
      </c>
      <c r="E6" s="55" t="s">
        <v>51</v>
      </c>
      <c r="F6" s="55" t="s">
        <v>52</v>
      </c>
      <c r="G6" s="55" t="s">
        <v>53</v>
      </c>
      <c r="H6" s="55" t="s">
        <v>54</v>
      </c>
      <c r="I6" s="55" t="s">
        <v>55</v>
      </c>
      <c r="J6" s="55" t="s">
        <v>16</v>
      </c>
      <c r="K6" s="55" t="s">
        <v>56</v>
      </c>
      <c r="L6" s="55" t="s">
        <v>57</v>
      </c>
      <c r="M6" s="55" t="s">
        <v>58</v>
      </c>
      <c r="N6" s="55" t="s">
        <v>71</v>
      </c>
      <c r="O6" s="56" t="s">
        <v>72</v>
      </c>
      <c r="P6" s="56" t="s">
        <v>59</v>
      </c>
      <c r="Q6" s="56" t="s">
        <v>60</v>
      </c>
      <c r="R6" s="56" t="s">
        <v>61</v>
      </c>
      <c r="S6" s="55" t="s">
        <v>62</v>
      </c>
      <c r="T6" s="55" t="s">
        <v>63</v>
      </c>
      <c r="U6" s="57" t="s">
        <v>73</v>
      </c>
      <c r="V6" s="57" t="s">
        <v>74</v>
      </c>
      <c r="W6" s="57" t="s">
        <v>75</v>
      </c>
      <c r="X6" s="57" t="s">
        <v>76</v>
      </c>
      <c r="Y6" s="57" t="s">
        <v>77</v>
      </c>
      <c r="Z6" s="58" t="s">
        <v>78</v>
      </c>
    </row>
    <row r="7" spans="1:27" ht="150" customHeight="1" x14ac:dyDescent="0.15">
      <c r="A7" s="59">
        <v>46250</v>
      </c>
      <c r="B7" s="60">
        <v>1</v>
      </c>
      <c r="C7" s="60" t="s">
        <v>79</v>
      </c>
      <c r="D7" s="44" t="s">
        <v>80</v>
      </c>
      <c r="E7" s="60" t="s">
        <v>81</v>
      </c>
      <c r="F7" s="61" t="s">
        <v>82</v>
      </c>
      <c r="G7" s="61" t="s">
        <v>83</v>
      </c>
      <c r="H7" s="61" t="s">
        <v>26</v>
      </c>
      <c r="I7" s="61">
        <v>3</v>
      </c>
      <c r="J7" s="61" t="s">
        <v>41</v>
      </c>
      <c r="K7" s="61">
        <v>5</v>
      </c>
      <c r="L7" s="62">
        <f t="shared" ref="L7:L31" si="0">I7*K7</f>
        <v>15</v>
      </c>
      <c r="M7" s="60" t="s">
        <v>287</v>
      </c>
      <c r="N7" s="63" t="s">
        <v>85</v>
      </c>
      <c r="O7" s="61" t="s">
        <v>86</v>
      </c>
      <c r="P7" s="61" t="str">
        <f t="shared" ref="P7:P31" si="1">IF(I7&lt;=2,"Baja",IF(I7=3,"Media","Alta"))</f>
        <v>Media</v>
      </c>
      <c r="Q7" s="61">
        <f t="shared" ref="Q7:Q31" si="2">IF(I7&lt;=2,1,IF(I7=3,2,3))</f>
        <v>2</v>
      </c>
      <c r="R7" s="61" t="str">
        <f t="shared" ref="R7:R31" si="3">IF(K7&lt;=2,"Bajo",IF(K7=3,"Medio","Alto"))</f>
        <v>Alto</v>
      </c>
      <c r="S7" s="64" t="s">
        <v>87</v>
      </c>
      <c r="T7" s="65" t="s">
        <v>88</v>
      </c>
      <c r="U7" s="45" t="s">
        <v>89</v>
      </c>
      <c r="V7" s="45" t="str">
        <f t="shared" ref="V7:V32" si="4">IF(L7&lt;=4,"Bajo",IF(L7&lt;=9,"Medio",IF(L7&lt;=16,"Alto","Crítico")))</f>
        <v>Alto</v>
      </c>
      <c r="W7" s="45" t="s">
        <v>90</v>
      </c>
      <c r="X7" s="45" t="s">
        <v>91</v>
      </c>
      <c r="Y7" s="45" t="s">
        <v>92</v>
      </c>
      <c r="Z7" s="66">
        <v>46303</v>
      </c>
    </row>
    <row r="8" spans="1:27" ht="150" customHeight="1" x14ac:dyDescent="0.15">
      <c r="A8" s="59">
        <v>46250</v>
      </c>
      <c r="B8" s="60">
        <v>2</v>
      </c>
      <c r="C8" s="67" t="s">
        <v>93</v>
      </c>
      <c r="D8" s="44" t="s">
        <v>80</v>
      </c>
      <c r="E8" s="60" t="s">
        <v>94</v>
      </c>
      <c r="F8" s="68" t="s">
        <v>95</v>
      </c>
      <c r="G8" s="67" t="s">
        <v>96</v>
      </c>
      <c r="H8" s="67" t="s">
        <v>28</v>
      </c>
      <c r="I8" s="67">
        <v>4</v>
      </c>
      <c r="J8" s="68" t="s">
        <v>41</v>
      </c>
      <c r="K8" s="67">
        <v>5</v>
      </c>
      <c r="L8" s="69">
        <f t="shared" si="0"/>
        <v>20</v>
      </c>
      <c r="M8" s="60" t="s">
        <v>289</v>
      </c>
      <c r="N8" s="70" t="s">
        <v>98</v>
      </c>
      <c r="O8" s="60" t="s">
        <v>86</v>
      </c>
      <c r="P8" s="60" t="str">
        <f t="shared" si="1"/>
        <v>Alta</v>
      </c>
      <c r="Q8" s="67">
        <f t="shared" si="2"/>
        <v>3</v>
      </c>
      <c r="R8" s="60" t="str">
        <f t="shared" si="3"/>
        <v>Alto</v>
      </c>
      <c r="S8" s="71" t="s">
        <v>87</v>
      </c>
      <c r="T8" s="72" t="s">
        <v>99</v>
      </c>
      <c r="U8" s="73" t="s">
        <v>100</v>
      </c>
      <c r="V8" s="73" t="str">
        <f t="shared" si="4"/>
        <v>Crítico</v>
      </c>
      <c r="W8" s="73" t="s">
        <v>101</v>
      </c>
      <c r="X8" s="73" t="s">
        <v>102</v>
      </c>
      <c r="Y8" s="73" t="s">
        <v>92</v>
      </c>
      <c r="Z8" s="74">
        <v>46303</v>
      </c>
    </row>
    <row r="9" spans="1:27" ht="150" customHeight="1" x14ac:dyDescent="0.15">
      <c r="A9" s="59">
        <v>46250</v>
      </c>
      <c r="B9" s="60">
        <v>3</v>
      </c>
      <c r="C9" s="61" t="s">
        <v>103</v>
      </c>
      <c r="D9" s="44" t="s">
        <v>80</v>
      </c>
      <c r="E9" s="60" t="s">
        <v>104</v>
      </c>
      <c r="F9" s="61" t="s">
        <v>105</v>
      </c>
      <c r="G9" s="61" t="s">
        <v>106</v>
      </c>
      <c r="H9" s="98" t="s">
        <v>28</v>
      </c>
      <c r="I9" s="61">
        <v>4</v>
      </c>
      <c r="J9" s="98" t="s">
        <v>39</v>
      </c>
      <c r="K9" s="61">
        <v>4</v>
      </c>
      <c r="L9" s="62">
        <f t="shared" si="0"/>
        <v>16</v>
      </c>
      <c r="M9" s="60" t="s">
        <v>287</v>
      </c>
      <c r="N9" s="63" t="s">
        <v>98</v>
      </c>
      <c r="O9" s="61" t="s">
        <v>86</v>
      </c>
      <c r="P9" s="61" t="str">
        <f t="shared" si="1"/>
        <v>Alta</v>
      </c>
      <c r="Q9" s="61">
        <f t="shared" si="2"/>
        <v>3</v>
      </c>
      <c r="R9" s="61" t="str">
        <f t="shared" si="3"/>
        <v>Alto</v>
      </c>
      <c r="S9" s="64" t="s">
        <v>87</v>
      </c>
      <c r="T9" s="65" t="s">
        <v>107</v>
      </c>
      <c r="U9" s="45" t="s">
        <v>108</v>
      </c>
      <c r="V9" s="45" t="str">
        <f t="shared" si="4"/>
        <v>Alto</v>
      </c>
      <c r="W9" s="45" t="s">
        <v>101</v>
      </c>
      <c r="X9" s="45" t="s">
        <v>109</v>
      </c>
      <c r="Y9" s="45" t="s">
        <v>92</v>
      </c>
      <c r="Z9" s="66">
        <v>46303</v>
      </c>
    </row>
    <row r="10" spans="1:27" ht="150" customHeight="1" x14ac:dyDescent="0.15">
      <c r="A10" s="59">
        <v>46250</v>
      </c>
      <c r="B10" s="60">
        <v>4</v>
      </c>
      <c r="C10" s="60" t="s">
        <v>110</v>
      </c>
      <c r="D10" s="44" t="s">
        <v>80</v>
      </c>
      <c r="E10" s="60" t="s">
        <v>111</v>
      </c>
      <c r="F10" s="67" t="s">
        <v>112</v>
      </c>
      <c r="G10" s="67" t="s">
        <v>113</v>
      </c>
      <c r="H10" s="67" t="s">
        <v>26</v>
      </c>
      <c r="I10" s="67">
        <v>3</v>
      </c>
      <c r="J10" s="67" t="s">
        <v>41</v>
      </c>
      <c r="K10" s="67">
        <v>5</v>
      </c>
      <c r="L10" s="62">
        <f t="shared" si="0"/>
        <v>15</v>
      </c>
      <c r="M10" s="60" t="s">
        <v>287</v>
      </c>
      <c r="N10" s="70" t="s">
        <v>85</v>
      </c>
      <c r="O10" s="60" t="s">
        <v>86</v>
      </c>
      <c r="P10" s="60" t="str">
        <f t="shared" si="1"/>
        <v>Media</v>
      </c>
      <c r="Q10" s="67">
        <f t="shared" si="2"/>
        <v>2</v>
      </c>
      <c r="R10" s="60" t="str">
        <f t="shared" si="3"/>
        <v>Alto</v>
      </c>
      <c r="S10" s="71" t="s">
        <v>87</v>
      </c>
      <c r="T10" s="72" t="s">
        <v>114</v>
      </c>
      <c r="U10" s="73" t="s">
        <v>115</v>
      </c>
      <c r="V10" s="73" t="str">
        <f t="shared" si="4"/>
        <v>Alto</v>
      </c>
      <c r="W10" s="73" t="s">
        <v>90</v>
      </c>
      <c r="X10" s="73" t="s">
        <v>116</v>
      </c>
      <c r="Y10" s="73" t="s">
        <v>92</v>
      </c>
      <c r="Z10" s="74">
        <v>46303</v>
      </c>
    </row>
    <row r="11" spans="1:27" ht="150" customHeight="1" x14ac:dyDescent="0.15">
      <c r="A11" s="59">
        <v>46250</v>
      </c>
      <c r="B11" s="60">
        <v>5</v>
      </c>
      <c r="C11" s="60" t="s">
        <v>117</v>
      </c>
      <c r="D11" s="44" t="s">
        <v>80</v>
      </c>
      <c r="E11" s="60" t="s">
        <v>118</v>
      </c>
      <c r="F11" s="61" t="s">
        <v>119</v>
      </c>
      <c r="G11" s="61" t="s">
        <v>120</v>
      </c>
      <c r="H11" s="98" t="s">
        <v>28</v>
      </c>
      <c r="I11" s="61">
        <v>4</v>
      </c>
      <c r="J11" s="61" t="s">
        <v>41</v>
      </c>
      <c r="K11" s="61">
        <v>5</v>
      </c>
      <c r="L11" s="69">
        <f t="shared" si="0"/>
        <v>20</v>
      </c>
      <c r="M11" s="60" t="s">
        <v>287</v>
      </c>
      <c r="N11" s="63" t="s">
        <v>121</v>
      </c>
      <c r="O11" s="61" t="s">
        <v>86</v>
      </c>
      <c r="P11" s="61" t="str">
        <f t="shared" si="1"/>
        <v>Alta</v>
      </c>
      <c r="Q11" s="61">
        <f t="shared" si="2"/>
        <v>3</v>
      </c>
      <c r="R11" s="61" t="str">
        <f t="shared" si="3"/>
        <v>Alto</v>
      </c>
      <c r="S11" s="64" t="s">
        <v>122</v>
      </c>
      <c r="T11" s="65" t="s">
        <v>123</v>
      </c>
      <c r="U11" s="45" t="s">
        <v>124</v>
      </c>
      <c r="V11" s="45" t="str">
        <f t="shared" si="4"/>
        <v>Crítico</v>
      </c>
      <c r="W11" s="45" t="s">
        <v>125</v>
      </c>
      <c r="X11" s="45" t="s">
        <v>126</v>
      </c>
      <c r="Y11" s="45" t="s">
        <v>92</v>
      </c>
      <c r="Z11" s="66">
        <v>46303</v>
      </c>
      <c r="AA11" s="100"/>
    </row>
    <row r="12" spans="1:27" ht="150" customHeight="1" x14ac:dyDescent="0.15">
      <c r="A12" s="59">
        <v>46298</v>
      </c>
      <c r="B12" s="60">
        <v>26</v>
      </c>
      <c r="C12" s="60" t="s">
        <v>127</v>
      </c>
      <c r="D12" s="75" t="s">
        <v>80</v>
      </c>
      <c r="E12" s="76" t="s">
        <v>128</v>
      </c>
      <c r="F12" s="68" t="s">
        <v>129</v>
      </c>
      <c r="G12" s="68" t="s">
        <v>130</v>
      </c>
      <c r="H12" s="67" t="s">
        <v>26</v>
      </c>
      <c r="I12" s="67">
        <v>3</v>
      </c>
      <c r="J12" s="67" t="s">
        <v>41</v>
      </c>
      <c r="K12" s="67">
        <v>5</v>
      </c>
      <c r="L12" s="62">
        <f t="shared" si="0"/>
        <v>15</v>
      </c>
      <c r="M12" s="60" t="s">
        <v>287</v>
      </c>
      <c r="N12" s="70" t="s">
        <v>131</v>
      </c>
      <c r="O12" s="60" t="s">
        <v>86</v>
      </c>
      <c r="P12" s="60" t="str">
        <f t="shared" si="1"/>
        <v>Media</v>
      </c>
      <c r="Q12" s="60">
        <f t="shared" si="2"/>
        <v>2</v>
      </c>
      <c r="R12" s="60" t="str">
        <f t="shared" si="3"/>
        <v>Alto</v>
      </c>
      <c r="S12" s="71" t="s">
        <v>122</v>
      </c>
      <c r="T12" s="72" t="s">
        <v>132</v>
      </c>
      <c r="U12" s="73" t="s">
        <v>133</v>
      </c>
      <c r="V12" s="73" t="str">
        <f t="shared" si="4"/>
        <v>Alto</v>
      </c>
      <c r="W12" s="73" t="s">
        <v>134</v>
      </c>
      <c r="X12" s="73" t="s">
        <v>135</v>
      </c>
      <c r="Y12" s="73" t="s">
        <v>92</v>
      </c>
      <c r="Z12" s="74">
        <v>46303</v>
      </c>
    </row>
    <row r="13" spans="1:27" ht="150" customHeight="1" x14ac:dyDescent="0.15">
      <c r="A13" s="59">
        <v>46250</v>
      </c>
      <c r="B13" s="60">
        <v>6</v>
      </c>
      <c r="C13" s="61" t="s">
        <v>136</v>
      </c>
      <c r="D13" s="62" t="s">
        <v>137</v>
      </c>
      <c r="E13" s="98" t="s">
        <v>138</v>
      </c>
      <c r="F13" s="98" t="s">
        <v>139</v>
      </c>
      <c r="G13" s="98" t="s">
        <v>140</v>
      </c>
      <c r="H13" s="61" t="s">
        <v>28</v>
      </c>
      <c r="I13" s="61">
        <v>4</v>
      </c>
      <c r="J13" s="61" t="s">
        <v>39</v>
      </c>
      <c r="K13" s="61">
        <v>4</v>
      </c>
      <c r="L13" s="62">
        <f t="shared" si="0"/>
        <v>16</v>
      </c>
      <c r="M13" s="60" t="s">
        <v>64</v>
      </c>
      <c r="N13" s="63" t="s">
        <v>98</v>
      </c>
      <c r="O13" s="61" t="s">
        <v>86</v>
      </c>
      <c r="P13" s="61" t="str">
        <f t="shared" si="1"/>
        <v>Alta</v>
      </c>
      <c r="Q13" s="61">
        <f t="shared" si="2"/>
        <v>3</v>
      </c>
      <c r="R13" s="61" t="str">
        <f t="shared" si="3"/>
        <v>Alto</v>
      </c>
      <c r="S13" s="64" t="s">
        <v>87</v>
      </c>
      <c r="T13" s="65" t="s">
        <v>141</v>
      </c>
      <c r="U13" s="45" t="s">
        <v>142</v>
      </c>
      <c r="V13" s="45" t="str">
        <f t="shared" si="4"/>
        <v>Alto</v>
      </c>
      <c r="W13" s="45" t="s">
        <v>101</v>
      </c>
      <c r="X13" s="45" t="s">
        <v>143</v>
      </c>
      <c r="Y13" s="45" t="s">
        <v>92</v>
      </c>
      <c r="Z13" s="66">
        <v>46303</v>
      </c>
    </row>
    <row r="14" spans="1:27" ht="150" customHeight="1" x14ac:dyDescent="0.15">
      <c r="A14" s="59">
        <v>46250</v>
      </c>
      <c r="B14" s="60">
        <v>7</v>
      </c>
      <c r="C14" s="60" t="s">
        <v>144</v>
      </c>
      <c r="D14" s="62" t="s">
        <v>137</v>
      </c>
      <c r="E14" s="68" t="s">
        <v>145</v>
      </c>
      <c r="F14" s="68" t="s">
        <v>146</v>
      </c>
      <c r="G14" s="68" t="s">
        <v>147</v>
      </c>
      <c r="H14" s="67" t="s">
        <v>26</v>
      </c>
      <c r="I14" s="67">
        <v>3</v>
      </c>
      <c r="J14" s="67" t="s">
        <v>39</v>
      </c>
      <c r="K14" s="67">
        <v>4</v>
      </c>
      <c r="L14" s="62">
        <f t="shared" si="0"/>
        <v>12</v>
      </c>
      <c r="M14" s="60" t="s">
        <v>148</v>
      </c>
      <c r="N14" s="70" t="s">
        <v>98</v>
      </c>
      <c r="O14" s="60" t="s">
        <v>86</v>
      </c>
      <c r="P14" s="60" t="str">
        <f t="shared" si="1"/>
        <v>Media</v>
      </c>
      <c r="Q14" s="60">
        <f t="shared" si="2"/>
        <v>2</v>
      </c>
      <c r="R14" s="60" t="str">
        <f t="shared" si="3"/>
        <v>Alto</v>
      </c>
      <c r="S14" s="71" t="s">
        <v>87</v>
      </c>
      <c r="T14" s="72" t="s">
        <v>149</v>
      </c>
      <c r="U14" s="73" t="s">
        <v>150</v>
      </c>
      <c r="V14" s="73" t="str">
        <f t="shared" si="4"/>
        <v>Alto</v>
      </c>
      <c r="W14" s="73" t="s">
        <v>101</v>
      </c>
      <c r="X14" s="73" t="s">
        <v>151</v>
      </c>
      <c r="Y14" s="73" t="s">
        <v>92</v>
      </c>
      <c r="Z14" s="74">
        <v>46303</v>
      </c>
    </row>
    <row r="15" spans="1:27" ht="150" customHeight="1" x14ac:dyDescent="0.15">
      <c r="A15" s="59">
        <v>46250</v>
      </c>
      <c r="B15" s="60">
        <v>8</v>
      </c>
      <c r="C15" s="60" t="s">
        <v>152</v>
      </c>
      <c r="D15" s="62" t="s">
        <v>137</v>
      </c>
      <c r="E15" s="98" t="s">
        <v>153</v>
      </c>
      <c r="F15" s="98" t="s">
        <v>154</v>
      </c>
      <c r="G15" s="98" t="s">
        <v>155</v>
      </c>
      <c r="H15" s="61" t="s">
        <v>26</v>
      </c>
      <c r="I15" s="61">
        <v>3</v>
      </c>
      <c r="J15" s="61" t="s">
        <v>39</v>
      </c>
      <c r="K15" s="61">
        <v>4</v>
      </c>
      <c r="L15" s="77">
        <f t="shared" si="0"/>
        <v>12</v>
      </c>
      <c r="M15" s="60" t="s">
        <v>64</v>
      </c>
      <c r="N15" s="63" t="s">
        <v>98</v>
      </c>
      <c r="O15" s="61" t="s">
        <v>86</v>
      </c>
      <c r="P15" s="61" t="str">
        <f t="shared" si="1"/>
        <v>Media</v>
      </c>
      <c r="Q15" s="61">
        <f t="shared" si="2"/>
        <v>2</v>
      </c>
      <c r="R15" s="61" t="str">
        <f t="shared" si="3"/>
        <v>Alto</v>
      </c>
      <c r="S15" s="64" t="s">
        <v>87</v>
      </c>
      <c r="T15" s="65" t="s">
        <v>156</v>
      </c>
      <c r="U15" s="45" t="s">
        <v>157</v>
      </c>
      <c r="V15" s="45" t="str">
        <f t="shared" si="4"/>
        <v>Alto</v>
      </c>
      <c r="W15" s="45" t="s">
        <v>101</v>
      </c>
      <c r="X15" s="45" t="s">
        <v>158</v>
      </c>
      <c r="Y15" s="45" t="s">
        <v>92</v>
      </c>
      <c r="Z15" s="66">
        <v>46303</v>
      </c>
    </row>
    <row r="16" spans="1:27" ht="150" customHeight="1" x14ac:dyDescent="0.15">
      <c r="A16" s="59">
        <v>46250</v>
      </c>
      <c r="B16" s="60">
        <v>9</v>
      </c>
      <c r="C16" s="60" t="s">
        <v>159</v>
      </c>
      <c r="D16" s="62" t="s">
        <v>137</v>
      </c>
      <c r="E16" s="68" t="s">
        <v>160</v>
      </c>
      <c r="F16" s="68" t="s">
        <v>161</v>
      </c>
      <c r="G16" s="68" t="s">
        <v>162</v>
      </c>
      <c r="H16" s="67" t="s">
        <v>26</v>
      </c>
      <c r="I16" s="67">
        <v>3</v>
      </c>
      <c r="J16" s="67" t="s">
        <v>37</v>
      </c>
      <c r="K16" s="67">
        <v>3</v>
      </c>
      <c r="L16" s="62">
        <f t="shared" si="0"/>
        <v>9</v>
      </c>
      <c r="M16" s="60" t="s">
        <v>163</v>
      </c>
      <c r="N16" s="70" t="s">
        <v>98</v>
      </c>
      <c r="O16" s="60" t="s">
        <v>86</v>
      </c>
      <c r="P16" s="60" t="str">
        <f t="shared" si="1"/>
        <v>Media</v>
      </c>
      <c r="Q16" s="60">
        <f t="shared" si="2"/>
        <v>2</v>
      </c>
      <c r="R16" s="60" t="str">
        <f t="shared" si="3"/>
        <v>Medio</v>
      </c>
      <c r="S16" s="71" t="s">
        <v>87</v>
      </c>
      <c r="T16" s="72" t="s">
        <v>164</v>
      </c>
      <c r="U16" s="73" t="s">
        <v>165</v>
      </c>
      <c r="V16" s="73" t="str">
        <f t="shared" si="4"/>
        <v>Medio</v>
      </c>
      <c r="W16" s="73" t="s">
        <v>101</v>
      </c>
      <c r="X16" s="73" t="s">
        <v>166</v>
      </c>
      <c r="Y16" s="73" t="s">
        <v>92</v>
      </c>
      <c r="Z16" s="74">
        <v>46303</v>
      </c>
    </row>
    <row r="17" spans="1:27" ht="150" customHeight="1" x14ac:dyDescent="0.15">
      <c r="A17" s="59">
        <v>46250</v>
      </c>
      <c r="B17" s="60">
        <v>10</v>
      </c>
      <c r="C17" s="60" t="s">
        <v>167</v>
      </c>
      <c r="D17" s="78" t="s">
        <v>137</v>
      </c>
      <c r="E17" s="98" t="s">
        <v>168</v>
      </c>
      <c r="F17" s="98" t="s">
        <v>169</v>
      </c>
      <c r="G17" s="98" t="s">
        <v>170</v>
      </c>
      <c r="H17" s="61" t="s">
        <v>28</v>
      </c>
      <c r="I17" s="61">
        <v>4</v>
      </c>
      <c r="J17" s="61" t="s">
        <v>37</v>
      </c>
      <c r="K17" s="61">
        <v>3</v>
      </c>
      <c r="L17" s="69">
        <f t="shared" si="0"/>
        <v>12</v>
      </c>
      <c r="M17" s="60" t="s">
        <v>268</v>
      </c>
      <c r="N17" s="63" t="s">
        <v>85</v>
      </c>
      <c r="O17" s="61" t="s">
        <v>86</v>
      </c>
      <c r="P17" s="61" t="str">
        <f t="shared" si="1"/>
        <v>Alta</v>
      </c>
      <c r="Q17" s="61">
        <f t="shared" si="2"/>
        <v>3</v>
      </c>
      <c r="R17" s="61" t="str">
        <f t="shared" si="3"/>
        <v>Medio</v>
      </c>
      <c r="S17" s="64" t="s">
        <v>87</v>
      </c>
      <c r="T17" s="65" t="s">
        <v>171</v>
      </c>
      <c r="U17" s="45" t="s">
        <v>172</v>
      </c>
      <c r="V17" s="45" t="str">
        <f t="shared" si="4"/>
        <v>Alto</v>
      </c>
      <c r="W17" s="45" t="s">
        <v>90</v>
      </c>
      <c r="X17" s="45" t="s">
        <v>173</v>
      </c>
      <c r="Y17" s="45" t="s">
        <v>92</v>
      </c>
      <c r="Z17" s="66">
        <v>46303</v>
      </c>
    </row>
    <row r="18" spans="1:27" ht="150" customHeight="1" x14ac:dyDescent="0.15">
      <c r="A18" s="59">
        <v>46250</v>
      </c>
      <c r="B18" s="60">
        <v>11</v>
      </c>
      <c r="C18" s="60" t="s">
        <v>174</v>
      </c>
      <c r="D18" s="79" t="s">
        <v>175</v>
      </c>
      <c r="E18" s="60" t="s">
        <v>176</v>
      </c>
      <c r="F18" s="67" t="s">
        <v>177</v>
      </c>
      <c r="G18" s="67" t="s">
        <v>178</v>
      </c>
      <c r="H18" s="67" t="s">
        <v>28</v>
      </c>
      <c r="I18" s="67">
        <v>4</v>
      </c>
      <c r="J18" s="67" t="s">
        <v>41</v>
      </c>
      <c r="K18" s="67">
        <v>5</v>
      </c>
      <c r="L18" s="62">
        <f t="shared" si="0"/>
        <v>20</v>
      </c>
      <c r="M18" s="60" t="s">
        <v>287</v>
      </c>
      <c r="N18" s="70" t="s">
        <v>121</v>
      </c>
      <c r="O18" s="60" t="s">
        <v>86</v>
      </c>
      <c r="P18" s="60" t="str">
        <f t="shared" si="1"/>
        <v>Alta</v>
      </c>
      <c r="Q18" s="60">
        <f t="shared" si="2"/>
        <v>3</v>
      </c>
      <c r="R18" s="60" t="str">
        <f t="shared" si="3"/>
        <v>Alto</v>
      </c>
      <c r="S18" s="71" t="s">
        <v>87</v>
      </c>
      <c r="T18" s="72" t="s">
        <v>179</v>
      </c>
      <c r="U18" s="73" t="s">
        <v>180</v>
      </c>
      <c r="V18" s="73" t="str">
        <f t="shared" si="4"/>
        <v>Crítico</v>
      </c>
      <c r="W18" s="73" t="s">
        <v>125</v>
      </c>
      <c r="X18" s="73" t="s">
        <v>181</v>
      </c>
      <c r="Y18" s="73" t="s">
        <v>92</v>
      </c>
      <c r="Z18" s="74">
        <v>46303</v>
      </c>
    </row>
    <row r="19" spans="1:27" ht="150" customHeight="1" x14ac:dyDescent="0.15">
      <c r="A19" s="59">
        <v>46250</v>
      </c>
      <c r="B19" s="60">
        <v>12</v>
      </c>
      <c r="C19" s="60" t="s">
        <v>182</v>
      </c>
      <c r="D19" s="79" t="s">
        <v>175</v>
      </c>
      <c r="E19" s="60" t="s">
        <v>183</v>
      </c>
      <c r="F19" s="61" t="s">
        <v>184</v>
      </c>
      <c r="G19" s="61" t="s">
        <v>185</v>
      </c>
      <c r="H19" s="61" t="s">
        <v>26</v>
      </c>
      <c r="I19" s="61">
        <v>3</v>
      </c>
      <c r="J19" s="61" t="s">
        <v>41</v>
      </c>
      <c r="K19" s="61">
        <v>5</v>
      </c>
      <c r="L19" s="62">
        <f t="shared" si="0"/>
        <v>15</v>
      </c>
      <c r="M19" s="60" t="s">
        <v>287</v>
      </c>
      <c r="N19" s="63" t="s">
        <v>98</v>
      </c>
      <c r="O19" s="61" t="s">
        <v>86</v>
      </c>
      <c r="P19" s="61" t="str">
        <f t="shared" si="1"/>
        <v>Media</v>
      </c>
      <c r="Q19" s="61">
        <f t="shared" si="2"/>
        <v>2</v>
      </c>
      <c r="R19" s="61" t="str">
        <f t="shared" si="3"/>
        <v>Alto</v>
      </c>
      <c r="S19" s="64" t="s">
        <v>186</v>
      </c>
      <c r="T19" s="65" t="s">
        <v>187</v>
      </c>
      <c r="U19" s="45" t="s">
        <v>188</v>
      </c>
      <c r="V19" s="45" t="str">
        <f t="shared" si="4"/>
        <v>Alto</v>
      </c>
      <c r="W19" s="45" t="s">
        <v>101</v>
      </c>
      <c r="X19" s="45" t="s">
        <v>189</v>
      </c>
      <c r="Y19" s="45" t="s">
        <v>92</v>
      </c>
      <c r="Z19" s="66">
        <v>46303</v>
      </c>
    </row>
    <row r="20" spans="1:27" ht="150" customHeight="1" x14ac:dyDescent="0.15">
      <c r="A20" s="59">
        <v>46250</v>
      </c>
      <c r="B20" s="60">
        <v>13</v>
      </c>
      <c r="C20" s="60" t="s">
        <v>190</v>
      </c>
      <c r="D20" s="79" t="s">
        <v>175</v>
      </c>
      <c r="E20" s="60" t="s">
        <v>191</v>
      </c>
      <c r="F20" s="67" t="s">
        <v>192</v>
      </c>
      <c r="G20" s="67" t="s">
        <v>193</v>
      </c>
      <c r="H20" s="67" t="s">
        <v>26</v>
      </c>
      <c r="I20" s="67">
        <v>3</v>
      </c>
      <c r="J20" s="67" t="s">
        <v>41</v>
      </c>
      <c r="K20" s="67">
        <v>5</v>
      </c>
      <c r="L20" s="62">
        <f t="shared" si="0"/>
        <v>15</v>
      </c>
      <c r="M20" s="60" t="s">
        <v>290</v>
      </c>
      <c r="N20" s="70" t="s">
        <v>121</v>
      </c>
      <c r="O20" s="60" t="s">
        <v>86</v>
      </c>
      <c r="P20" s="60" t="str">
        <f t="shared" si="1"/>
        <v>Media</v>
      </c>
      <c r="Q20" s="60">
        <f t="shared" si="2"/>
        <v>2</v>
      </c>
      <c r="R20" s="60" t="str">
        <f t="shared" si="3"/>
        <v>Alto</v>
      </c>
      <c r="S20" s="71" t="s">
        <v>122</v>
      </c>
      <c r="T20" s="72" t="s">
        <v>194</v>
      </c>
      <c r="U20" s="73" t="s">
        <v>195</v>
      </c>
      <c r="V20" s="73" t="str">
        <f t="shared" si="4"/>
        <v>Alto</v>
      </c>
      <c r="W20" s="73" t="s">
        <v>125</v>
      </c>
      <c r="X20" s="73" t="s">
        <v>196</v>
      </c>
      <c r="Y20" s="73" t="s">
        <v>92</v>
      </c>
      <c r="Z20" s="74">
        <v>46303</v>
      </c>
    </row>
    <row r="21" spans="1:27" ht="150" customHeight="1" x14ac:dyDescent="0.15">
      <c r="A21" s="59">
        <v>46250</v>
      </c>
      <c r="B21" s="60">
        <v>14</v>
      </c>
      <c r="C21" s="60" t="s">
        <v>197</v>
      </c>
      <c r="D21" s="79" t="s">
        <v>175</v>
      </c>
      <c r="E21" s="60" t="s">
        <v>198</v>
      </c>
      <c r="F21" s="61" t="s">
        <v>199</v>
      </c>
      <c r="G21" s="61" t="s">
        <v>200</v>
      </c>
      <c r="H21" s="61" t="s">
        <v>28</v>
      </c>
      <c r="I21" s="61">
        <v>4</v>
      </c>
      <c r="J21" s="61" t="s">
        <v>39</v>
      </c>
      <c r="K21" s="61">
        <v>4</v>
      </c>
      <c r="L21" s="62">
        <f t="shared" si="0"/>
        <v>16</v>
      </c>
      <c r="M21" s="60" t="s">
        <v>268</v>
      </c>
      <c r="N21" s="63" t="s">
        <v>121</v>
      </c>
      <c r="O21" s="61" t="s">
        <v>86</v>
      </c>
      <c r="P21" s="61" t="str">
        <f t="shared" si="1"/>
        <v>Alta</v>
      </c>
      <c r="Q21" s="61">
        <f t="shared" si="2"/>
        <v>3</v>
      </c>
      <c r="R21" s="61" t="str">
        <f t="shared" si="3"/>
        <v>Alto</v>
      </c>
      <c r="S21" s="64" t="s">
        <v>87</v>
      </c>
      <c r="T21" s="65" t="s">
        <v>201</v>
      </c>
      <c r="U21" s="45" t="s">
        <v>202</v>
      </c>
      <c r="V21" s="45" t="str">
        <f t="shared" si="4"/>
        <v>Alto</v>
      </c>
      <c r="W21" s="45" t="s">
        <v>125</v>
      </c>
      <c r="X21" s="45" t="s">
        <v>203</v>
      </c>
      <c r="Y21" s="45" t="s">
        <v>92</v>
      </c>
      <c r="Z21" s="66">
        <v>46303</v>
      </c>
    </row>
    <row r="22" spans="1:27" ht="150" customHeight="1" x14ac:dyDescent="0.15">
      <c r="A22" s="59">
        <v>46250</v>
      </c>
      <c r="B22" s="60">
        <v>15</v>
      </c>
      <c r="C22" s="60" t="s">
        <v>204</v>
      </c>
      <c r="D22" s="80" t="s">
        <v>175</v>
      </c>
      <c r="E22" s="60" t="s">
        <v>205</v>
      </c>
      <c r="F22" s="67" t="s">
        <v>206</v>
      </c>
      <c r="G22" s="67" t="s">
        <v>207</v>
      </c>
      <c r="H22" s="67" t="s">
        <v>28</v>
      </c>
      <c r="I22" s="67">
        <v>4</v>
      </c>
      <c r="J22" s="67" t="s">
        <v>39</v>
      </c>
      <c r="K22" s="67">
        <v>4</v>
      </c>
      <c r="L22" s="62">
        <f t="shared" si="0"/>
        <v>16</v>
      </c>
      <c r="M22" s="60" t="s">
        <v>288</v>
      </c>
      <c r="N22" s="70" t="s">
        <v>85</v>
      </c>
      <c r="O22" s="60" t="s">
        <v>86</v>
      </c>
      <c r="P22" s="60" t="str">
        <f t="shared" si="1"/>
        <v>Alta</v>
      </c>
      <c r="Q22" s="60">
        <f t="shared" si="2"/>
        <v>3</v>
      </c>
      <c r="R22" s="60" t="str">
        <f t="shared" si="3"/>
        <v>Alto</v>
      </c>
      <c r="S22" s="71" t="s">
        <v>87</v>
      </c>
      <c r="T22" s="72" t="s">
        <v>208</v>
      </c>
      <c r="U22" s="73" t="s">
        <v>209</v>
      </c>
      <c r="V22" s="73" t="str">
        <f t="shared" si="4"/>
        <v>Alto</v>
      </c>
      <c r="W22" s="73" t="s">
        <v>90</v>
      </c>
      <c r="X22" s="73" t="s">
        <v>210</v>
      </c>
      <c r="Y22" s="73" t="s">
        <v>92</v>
      </c>
      <c r="Z22" s="74">
        <v>46303</v>
      </c>
    </row>
    <row r="23" spans="1:27" ht="150" customHeight="1" x14ac:dyDescent="0.15">
      <c r="A23" s="59">
        <v>46250</v>
      </c>
      <c r="B23" s="60">
        <v>16</v>
      </c>
      <c r="C23" s="60" t="s">
        <v>211</v>
      </c>
      <c r="D23" s="81" t="s">
        <v>212</v>
      </c>
      <c r="E23" s="60" t="s">
        <v>213</v>
      </c>
      <c r="F23" s="61" t="s">
        <v>214</v>
      </c>
      <c r="G23" s="61" t="s">
        <v>215</v>
      </c>
      <c r="H23" s="61" t="s">
        <v>26</v>
      </c>
      <c r="I23" s="61">
        <v>3</v>
      </c>
      <c r="J23" s="61" t="s">
        <v>41</v>
      </c>
      <c r="K23" s="61">
        <v>5</v>
      </c>
      <c r="L23" s="62">
        <f t="shared" si="0"/>
        <v>15</v>
      </c>
      <c r="M23" s="60" t="s">
        <v>287</v>
      </c>
      <c r="N23" s="63" t="s">
        <v>98</v>
      </c>
      <c r="O23" s="61" t="s">
        <v>86</v>
      </c>
      <c r="P23" s="61" t="str">
        <f t="shared" si="1"/>
        <v>Media</v>
      </c>
      <c r="Q23" s="61">
        <f t="shared" si="2"/>
        <v>2</v>
      </c>
      <c r="R23" s="61" t="str">
        <f t="shared" si="3"/>
        <v>Alto</v>
      </c>
      <c r="S23" s="64" t="s">
        <v>122</v>
      </c>
      <c r="T23" s="65" t="s">
        <v>216</v>
      </c>
      <c r="U23" s="45" t="s">
        <v>217</v>
      </c>
      <c r="V23" s="45" t="str">
        <f t="shared" si="4"/>
        <v>Alto</v>
      </c>
      <c r="W23" s="45" t="s">
        <v>101</v>
      </c>
      <c r="X23" s="45" t="s">
        <v>218</v>
      </c>
      <c r="Y23" s="45" t="s">
        <v>92</v>
      </c>
      <c r="Z23" s="66">
        <v>46303</v>
      </c>
    </row>
    <row r="24" spans="1:27" ht="150" customHeight="1" x14ac:dyDescent="0.15">
      <c r="A24" s="59">
        <v>46250</v>
      </c>
      <c r="B24" s="60">
        <v>17</v>
      </c>
      <c r="C24" s="60" t="s">
        <v>219</v>
      </c>
      <c r="D24" s="81" t="s">
        <v>212</v>
      </c>
      <c r="E24" s="60" t="s">
        <v>220</v>
      </c>
      <c r="F24" s="67" t="s">
        <v>221</v>
      </c>
      <c r="G24" s="67" t="s">
        <v>222</v>
      </c>
      <c r="H24" s="67" t="s">
        <v>26</v>
      </c>
      <c r="I24" s="67">
        <v>3</v>
      </c>
      <c r="J24" s="67" t="s">
        <v>41</v>
      </c>
      <c r="K24" s="67">
        <v>5</v>
      </c>
      <c r="L24" s="62">
        <f t="shared" si="0"/>
        <v>15</v>
      </c>
      <c r="M24" s="60" t="s">
        <v>64</v>
      </c>
      <c r="N24" s="70" t="s">
        <v>121</v>
      </c>
      <c r="O24" s="60" t="s">
        <v>86</v>
      </c>
      <c r="P24" s="60" t="str">
        <f t="shared" si="1"/>
        <v>Media</v>
      </c>
      <c r="Q24" s="60">
        <f t="shared" si="2"/>
        <v>2</v>
      </c>
      <c r="R24" s="60" t="str">
        <f t="shared" si="3"/>
        <v>Alto</v>
      </c>
      <c r="S24" s="71" t="s">
        <v>223</v>
      </c>
      <c r="T24" s="72" t="s">
        <v>224</v>
      </c>
      <c r="U24" s="73" t="s">
        <v>225</v>
      </c>
      <c r="V24" s="73" t="str">
        <f t="shared" si="4"/>
        <v>Alto</v>
      </c>
      <c r="W24" s="73" t="s">
        <v>125</v>
      </c>
      <c r="X24" s="73" t="s">
        <v>226</v>
      </c>
      <c r="Y24" s="73" t="s">
        <v>92</v>
      </c>
      <c r="Z24" s="74">
        <v>46303</v>
      </c>
    </row>
    <row r="25" spans="1:27" ht="150" customHeight="1" x14ac:dyDescent="0.15">
      <c r="A25" s="59">
        <v>46250</v>
      </c>
      <c r="B25" s="60">
        <v>18</v>
      </c>
      <c r="C25" s="99" t="s">
        <v>227</v>
      </c>
      <c r="D25" s="81" t="s">
        <v>212</v>
      </c>
      <c r="E25" s="101" t="s">
        <v>228</v>
      </c>
      <c r="F25" s="61" t="s">
        <v>229</v>
      </c>
      <c r="G25" s="61" t="s">
        <v>230</v>
      </c>
      <c r="H25" s="61" t="s">
        <v>28</v>
      </c>
      <c r="I25" s="99">
        <v>4</v>
      </c>
      <c r="J25" s="99" t="s">
        <v>39</v>
      </c>
      <c r="K25" s="61">
        <v>4</v>
      </c>
      <c r="L25" s="62">
        <f t="shared" si="0"/>
        <v>16</v>
      </c>
      <c r="M25" s="60" t="s">
        <v>231</v>
      </c>
      <c r="N25" s="63" t="s">
        <v>98</v>
      </c>
      <c r="O25" s="61" t="s">
        <v>86</v>
      </c>
      <c r="P25" s="61" t="str">
        <f t="shared" si="1"/>
        <v>Alta</v>
      </c>
      <c r="Q25" s="61">
        <f t="shared" si="2"/>
        <v>3</v>
      </c>
      <c r="R25" s="61" t="str">
        <f t="shared" si="3"/>
        <v>Alto</v>
      </c>
      <c r="S25" s="64" t="s">
        <v>87</v>
      </c>
      <c r="T25" s="65" t="s">
        <v>232</v>
      </c>
      <c r="U25" s="45" t="s">
        <v>233</v>
      </c>
      <c r="V25" s="45" t="str">
        <f t="shared" si="4"/>
        <v>Alto</v>
      </c>
      <c r="W25" s="45" t="s">
        <v>101</v>
      </c>
      <c r="X25" s="45" t="s">
        <v>234</v>
      </c>
      <c r="Y25" s="45" t="s">
        <v>92</v>
      </c>
      <c r="Z25" s="66">
        <v>46303</v>
      </c>
    </row>
    <row r="26" spans="1:27" ht="150" customHeight="1" x14ac:dyDescent="0.15">
      <c r="A26" s="59">
        <v>46250</v>
      </c>
      <c r="B26" s="60">
        <v>19</v>
      </c>
      <c r="C26" s="82" t="s">
        <v>235</v>
      </c>
      <c r="D26" s="81" t="s">
        <v>212</v>
      </c>
      <c r="E26" s="60" t="s">
        <v>236</v>
      </c>
      <c r="F26" s="67" t="s">
        <v>237</v>
      </c>
      <c r="G26" s="67" t="s">
        <v>238</v>
      </c>
      <c r="H26" s="67" t="s">
        <v>26</v>
      </c>
      <c r="I26" s="67">
        <v>3</v>
      </c>
      <c r="J26" s="82" t="s">
        <v>39</v>
      </c>
      <c r="K26" s="67">
        <v>4</v>
      </c>
      <c r="L26" s="62">
        <f t="shared" si="0"/>
        <v>12</v>
      </c>
      <c r="M26" s="60" t="s">
        <v>291</v>
      </c>
      <c r="N26" s="70" t="s">
        <v>121</v>
      </c>
      <c r="O26" s="60" t="s">
        <v>86</v>
      </c>
      <c r="P26" s="60" t="str">
        <f t="shared" si="1"/>
        <v>Media</v>
      </c>
      <c r="Q26" s="60">
        <f t="shared" si="2"/>
        <v>2</v>
      </c>
      <c r="R26" s="60" t="str">
        <f t="shared" si="3"/>
        <v>Alto</v>
      </c>
      <c r="S26" s="71" t="s">
        <v>122</v>
      </c>
      <c r="T26" s="72" t="s">
        <v>239</v>
      </c>
      <c r="U26" s="73" t="s">
        <v>240</v>
      </c>
      <c r="V26" s="73" t="str">
        <f t="shared" si="4"/>
        <v>Alto</v>
      </c>
      <c r="W26" s="73" t="s">
        <v>125</v>
      </c>
      <c r="X26" s="73" t="s">
        <v>241</v>
      </c>
      <c r="Y26" s="73" t="s">
        <v>92</v>
      </c>
      <c r="Z26" s="74">
        <v>46303</v>
      </c>
    </row>
    <row r="27" spans="1:27" ht="150" customHeight="1" x14ac:dyDescent="0.15">
      <c r="A27" s="59">
        <v>46250</v>
      </c>
      <c r="B27" s="60">
        <v>20</v>
      </c>
      <c r="C27" s="99" t="s">
        <v>242</v>
      </c>
      <c r="D27" s="83" t="s">
        <v>212</v>
      </c>
      <c r="E27" s="60" t="s">
        <v>243</v>
      </c>
      <c r="F27" s="61" t="s">
        <v>244</v>
      </c>
      <c r="G27" s="99" t="s">
        <v>245</v>
      </c>
      <c r="H27" s="61" t="s">
        <v>26</v>
      </c>
      <c r="I27" s="99">
        <v>3</v>
      </c>
      <c r="J27" s="99" t="s">
        <v>39</v>
      </c>
      <c r="K27" s="61">
        <v>4</v>
      </c>
      <c r="L27" s="62">
        <f t="shared" si="0"/>
        <v>12</v>
      </c>
      <c r="M27" s="60" t="s">
        <v>64</v>
      </c>
      <c r="N27" s="63" t="s">
        <v>98</v>
      </c>
      <c r="O27" s="61" t="s">
        <v>86</v>
      </c>
      <c r="P27" s="61" t="str">
        <f t="shared" si="1"/>
        <v>Media</v>
      </c>
      <c r="Q27" s="61">
        <f t="shared" si="2"/>
        <v>2</v>
      </c>
      <c r="R27" s="61" t="str">
        <f t="shared" si="3"/>
        <v>Alto</v>
      </c>
      <c r="S27" s="64" t="s">
        <v>87</v>
      </c>
      <c r="T27" s="65" t="s">
        <v>246</v>
      </c>
      <c r="U27" s="45" t="s">
        <v>247</v>
      </c>
      <c r="V27" s="45" t="str">
        <f t="shared" si="4"/>
        <v>Alto</v>
      </c>
      <c r="W27" s="45" t="s">
        <v>101</v>
      </c>
      <c r="X27" s="45" t="s">
        <v>248</v>
      </c>
      <c r="Y27" s="45" t="s">
        <v>92</v>
      </c>
      <c r="Z27" s="66">
        <v>46303</v>
      </c>
    </row>
    <row r="28" spans="1:27" ht="150" customHeight="1" x14ac:dyDescent="0.15">
      <c r="A28" s="59">
        <v>46250</v>
      </c>
      <c r="B28" s="60">
        <v>21</v>
      </c>
      <c r="C28" s="82" t="s">
        <v>249</v>
      </c>
      <c r="D28" s="84" t="s">
        <v>250</v>
      </c>
      <c r="E28" s="60" t="s">
        <v>251</v>
      </c>
      <c r="F28" s="82" t="s">
        <v>252</v>
      </c>
      <c r="G28" s="67" t="s">
        <v>253</v>
      </c>
      <c r="H28" s="82" t="s">
        <v>26</v>
      </c>
      <c r="I28" s="82">
        <v>3</v>
      </c>
      <c r="J28" s="82" t="s">
        <v>39</v>
      </c>
      <c r="K28" s="67">
        <v>4</v>
      </c>
      <c r="L28" s="69">
        <f t="shared" si="0"/>
        <v>12</v>
      </c>
      <c r="M28" s="60" t="s">
        <v>84</v>
      </c>
      <c r="N28" s="70" t="s">
        <v>85</v>
      </c>
      <c r="O28" s="60" t="s">
        <v>86</v>
      </c>
      <c r="P28" s="60" t="str">
        <f t="shared" si="1"/>
        <v>Media</v>
      </c>
      <c r="Q28" s="60">
        <f t="shared" si="2"/>
        <v>2</v>
      </c>
      <c r="R28" s="60" t="str">
        <f t="shared" si="3"/>
        <v>Alto</v>
      </c>
      <c r="S28" s="71" t="s">
        <v>186</v>
      </c>
      <c r="T28" s="72" t="s">
        <v>254</v>
      </c>
      <c r="U28" s="73" t="s">
        <v>255</v>
      </c>
      <c r="V28" s="73" t="str">
        <f t="shared" si="4"/>
        <v>Alto</v>
      </c>
      <c r="W28" s="73" t="s">
        <v>90</v>
      </c>
      <c r="X28" s="73" t="s">
        <v>256</v>
      </c>
      <c r="Y28" s="73" t="s">
        <v>92</v>
      </c>
      <c r="Z28" s="74">
        <v>46303</v>
      </c>
    </row>
    <row r="29" spans="1:27" ht="150" customHeight="1" x14ac:dyDescent="0.15">
      <c r="A29" s="59">
        <v>46250</v>
      </c>
      <c r="B29" s="60">
        <v>22</v>
      </c>
      <c r="C29" s="99" t="s">
        <v>257</v>
      </c>
      <c r="D29" s="84" t="s">
        <v>250</v>
      </c>
      <c r="E29" s="60" t="s">
        <v>258</v>
      </c>
      <c r="F29" s="61" t="s">
        <v>259</v>
      </c>
      <c r="G29" s="61" t="s">
        <v>260</v>
      </c>
      <c r="H29" s="99" t="s">
        <v>28</v>
      </c>
      <c r="I29" s="61">
        <v>4</v>
      </c>
      <c r="J29" s="99" t="s">
        <v>41</v>
      </c>
      <c r="K29" s="61">
        <v>5</v>
      </c>
      <c r="L29" s="69">
        <f t="shared" si="0"/>
        <v>20</v>
      </c>
      <c r="M29" s="60" t="s">
        <v>97</v>
      </c>
      <c r="N29" s="63" t="s">
        <v>85</v>
      </c>
      <c r="O29" s="61" t="s">
        <v>86</v>
      </c>
      <c r="P29" s="61" t="str">
        <f t="shared" si="1"/>
        <v>Alta</v>
      </c>
      <c r="Q29" s="61">
        <f t="shared" si="2"/>
        <v>3</v>
      </c>
      <c r="R29" s="61" t="str">
        <f t="shared" si="3"/>
        <v>Alto</v>
      </c>
      <c r="S29" s="64" t="s">
        <v>87</v>
      </c>
      <c r="T29" s="65" t="s">
        <v>261</v>
      </c>
      <c r="U29" s="45" t="s">
        <v>262</v>
      </c>
      <c r="V29" s="45" t="str">
        <f t="shared" si="4"/>
        <v>Crítico</v>
      </c>
      <c r="W29" s="45" t="s">
        <v>90</v>
      </c>
      <c r="X29" s="45" t="s">
        <v>263</v>
      </c>
      <c r="Y29" s="45" t="s">
        <v>92</v>
      </c>
      <c r="Z29" s="66">
        <v>46303</v>
      </c>
      <c r="AA29" s="100"/>
    </row>
    <row r="30" spans="1:27" ht="150" customHeight="1" x14ac:dyDescent="0.15">
      <c r="A30" s="59">
        <v>46250</v>
      </c>
      <c r="B30" s="60">
        <v>23</v>
      </c>
      <c r="C30" s="82" t="s">
        <v>264</v>
      </c>
      <c r="D30" s="84" t="s">
        <v>250</v>
      </c>
      <c r="E30" s="68" t="s">
        <v>265</v>
      </c>
      <c r="F30" s="67" t="s">
        <v>266</v>
      </c>
      <c r="G30" s="67" t="s">
        <v>267</v>
      </c>
      <c r="H30" s="82" t="s">
        <v>28</v>
      </c>
      <c r="I30" s="67">
        <v>4</v>
      </c>
      <c r="J30" s="82" t="s">
        <v>41</v>
      </c>
      <c r="K30" s="67">
        <v>5</v>
      </c>
      <c r="L30" s="77">
        <f t="shared" si="0"/>
        <v>20</v>
      </c>
      <c r="M30" s="60" t="s">
        <v>163</v>
      </c>
      <c r="N30" s="70" t="s">
        <v>85</v>
      </c>
      <c r="O30" s="60" t="s">
        <v>86</v>
      </c>
      <c r="P30" s="60" t="str">
        <f t="shared" si="1"/>
        <v>Alta</v>
      </c>
      <c r="Q30" s="60">
        <f t="shared" si="2"/>
        <v>3</v>
      </c>
      <c r="R30" s="60" t="str">
        <f t="shared" si="3"/>
        <v>Alto</v>
      </c>
      <c r="S30" s="71" t="s">
        <v>87</v>
      </c>
      <c r="T30" s="72" t="s">
        <v>269</v>
      </c>
      <c r="U30" s="73" t="s">
        <v>270</v>
      </c>
      <c r="V30" s="73" t="str">
        <f t="shared" si="4"/>
        <v>Crítico</v>
      </c>
      <c r="W30" s="73" t="s">
        <v>90</v>
      </c>
      <c r="X30" s="73" t="s">
        <v>271</v>
      </c>
      <c r="Y30" s="73" t="s">
        <v>92</v>
      </c>
      <c r="Z30" s="74">
        <v>46303</v>
      </c>
    </row>
    <row r="31" spans="1:27" ht="150" customHeight="1" x14ac:dyDescent="0.15">
      <c r="A31" s="59">
        <v>46250</v>
      </c>
      <c r="B31" s="60">
        <v>24</v>
      </c>
      <c r="C31" s="97" t="s">
        <v>272</v>
      </c>
      <c r="D31" s="84" t="s">
        <v>250</v>
      </c>
      <c r="E31" s="98" t="s">
        <v>273</v>
      </c>
      <c r="F31" s="98" t="s">
        <v>274</v>
      </c>
      <c r="G31" s="98" t="s">
        <v>275</v>
      </c>
      <c r="H31" s="98" t="s">
        <v>26</v>
      </c>
      <c r="I31" s="61">
        <v>3</v>
      </c>
      <c r="J31" s="61" t="s">
        <v>37</v>
      </c>
      <c r="K31" s="61">
        <v>3</v>
      </c>
      <c r="L31" s="77">
        <f t="shared" si="0"/>
        <v>9</v>
      </c>
      <c r="M31" s="60" t="s">
        <v>64</v>
      </c>
      <c r="N31" s="63" t="s">
        <v>85</v>
      </c>
      <c r="O31" s="61" t="s">
        <v>86</v>
      </c>
      <c r="P31" s="61" t="str">
        <f t="shared" si="1"/>
        <v>Media</v>
      </c>
      <c r="Q31" s="61">
        <f t="shared" si="2"/>
        <v>2</v>
      </c>
      <c r="R31" s="61" t="str">
        <f t="shared" si="3"/>
        <v>Medio</v>
      </c>
      <c r="S31" s="64" t="s">
        <v>276</v>
      </c>
      <c r="T31" s="65" t="s">
        <v>277</v>
      </c>
      <c r="U31" s="45" t="s">
        <v>278</v>
      </c>
      <c r="V31" s="45" t="str">
        <f t="shared" si="4"/>
        <v>Medio</v>
      </c>
      <c r="W31" s="45" t="s">
        <v>90</v>
      </c>
      <c r="X31" s="45" t="s">
        <v>279</v>
      </c>
      <c r="Y31" s="45" t="s">
        <v>92</v>
      </c>
      <c r="Z31" s="66">
        <v>46303</v>
      </c>
    </row>
    <row r="32" spans="1:27" ht="150" customHeight="1" x14ac:dyDescent="0.15">
      <c r="A32" s="85">
        <v>46250</v>
      </c>
      <c r="B32" s="86">
        <v>25</v>
      </c>
      <c r="C32" s="87" t="s">
        <v>280</v>
      </c>
      <c r="D32" s="88" t="s">
        <v>250</v>
      </c>
      <c r="E32" s="87" t="s">
        <v>281</v>
      </c>
      <c r="F32" s="87" t="s">
        <v>282</v>
      </c>
      <c r="G32" s="89" t="s">
        <v>283</v>
      </c>
      <c r="H32" s="90" t="s">
        <v>24</v>
      </c>
      <c r="I32" s="89">
        <v>2</v>
      </c>
      <c r="J32" s="89" t="s">
        <v>39</v>
      </c>
      <c r="K32" s="89">
        <v>4</v>
      </c>
      <c r="L32" s="91">
        <f>I32*K32</f>
        <v>8</v>
      </c>
      <c r="M32" s="86" t="s">
        <v>292</v>
      </c>
      <c r="N32" s="92" t="s">
        <v>85</v>
      </c>
      <c r="O32" s="86" t="s">
        <v>86</v>
      </c>
      <c r="P32" s="86" t="str">
        <f>IF(I32&lt;=2,"Baja",IF(I32=3,"Media","Alta"))</f>
        <v>Baja</v>
      </c>
      <c r="Q32" s="86">
        <f>IF(I32&lt;=2,1,IF(I32=3,2,3))</f>
        <v>1</v>
      </c>
      <c r="R32" s="86" t="str">
        <f>IF(K32&lt;=2,"Bajo",IF(K32=3,"Medio","Alto"))</f>
        <v>Alto</v>
      </c>
      <c r="S32" s="93" t="s">
        <v>276</v>
      </c>
      <c r="T32" s="94" t="s">
        <v>284</v>
      </c>
      <c r="U32" s="95" t="s">
        <v>285</v>
      </c>
      <c r="V32" s="95" t="str">
        <f t="shared" si="4"/>
        <v>Medio</v>
      </c>
      <c r="W32" s="95" t="s">
        <v>90</v>
      </c>
      <c r="X32" s="95" t="s">
        <v>286</v>
      </c>
      <c r="Y32" s="95" t="s">
        <v>92</v>
      </c>
      <c r="Z32" s="96">
        <v>46303</v>
      </c>
    </row>
    <row r="33" spans="1:26" ht="60" customHeight="1" x14ac:dyDescent="0.15">
      <c r="A33" s="46"/>
      <c r="B33" s="47"/>
      <c r="C33" s="48"/>
      <c r="D33" s="49"/>
      <c r="E33" s="47"/>
      <c r="F33" s="50"/>
      <c r="G33" s="50"/>
      <c r="H33" s="50"/>
      <c r="I33" s="50"/>
      <c r="J33" s="50"/>
      <c r="K33" s="50"/>
      <c r="L33" s="138"/>
      <c r="M33" s="47"/>
      <c r="N33" s="51"/>
      <c r="O33" s="38"/>
      <c r="P33" s="38"/>
      <c r="Q33" s="38"/>
      <c r="R33" s="38"/>
      <c r="S33" s="52"/>
      <c r="T33" s="52"/>
      <c r="U33" s="53"/>
      <c r="V33" s="53"/>
      <c r="W33" s="53"/>
      <c r="X33" s="53"/>
      <c r="Y33" s="53"/>
      <c r="Z33" s="53"/>
    </row>
    <row r="34" spans="1:26" ht="53.25" customHeight="1" x14ac:dyDescent="0.15">
      <c r="A34" s="9"/>
      <c r="B34" s="10"/>
      <c r="C34" s="15"/>
      <c r="D34" s="39"/>
      <c r="E34" s="10"/>
      <c r="F34" s="15"/>
      <c r="G34" s="15"/>
      <c r="H34" s="15"/>
      <c r="I34" s="11"/>
      <c r="J34" s="11"/>
      <c r="K34" s="11"/>
      <c r="L34" s="139"/>
      <c r="M34" s="10"/>
      <c r="N34" s="13"/>
      <c r="O34" s="38"/>
      <c r="P34" s="25"/>
      <c r="Q34" s="25"/>
      <c r="R34" s="25"/>
      <c r="S34" s="14"/>
      <c r="T34" s="14"/>
      <c r="U34" s="43"/>
      <c r="V34" s="43"/>
      <c r="W34" s="43"/>
      <c r="X34" s="43"/>
      <c r="Y34" s="43"/>
      <c r="Z34" s="43"/>
    </row>
    <row r="35" spans="1:26" ht="54.75" customHeight="1" x14ac:dyDescent="0.15">
      <c r="A35" s="9"/>
      <c r="B35" s="10"/>
      <c r="C35" s="10"/>
      <c r="D35" s="39"/>
      <c r="E35" s="10"/>
      <c r="F35" s="11"/>
      <c r="G35" s="11"/>
      <c r="H35" s="11"/>
      <c r="I35" s="11"/>
      <c r="J35" s="11"/>
      <c r="K35" s="11"/>
      <c r="L35" s="139"/>
      <c r="M35" s="10"/>
      <c r="N35" s="13"/>
      <c r="O35" s="38"/>
      <c r="P35" s="25"/>
      <c r="Q35" s="25"/>
      <c r="R35" s="25"/>
      <c r="S35" s="14"/>
      <c r="T35" s="14"/>
      <c r="U35" s="43"/>
      <c r="V35" s="43"/>
      <c r="W35" s="43"/>
      <c r="X35" s="43"/>
      <c r="Y35" s="43"/>
      <c r="Z35" s="43"/>
    </row>
    <row r="36" spans="1:26" ht="57" customHeight="1" x14ac:dyDescent="0.15">
      <c r="A36" s="9"/>
      <c r="B36" s="10"/>
      <c r="C36" s="15"/>
      <c r="D36" s="39"/>
      <c r="E36" s="10"/>
      <c r="F36" s="11"/>
      <c r="G36" s="11"/>
      <c r="H36" s="11"/>
      <c r="I36" s="11"/>
      <c r="J36" s="11"/>
      <c r="K36" s="11"/>
      <c r="L36" s="139"/>
      <c r="M36" s="10"/>
      <c r="N36" s="13"/>
      <c r="O36" s="38"/>
      <c r="P36" s="25"/>
      <c r="Q36" s="25"/>
      <c r="R36" s="25"/>
      <c r="S36" s="14"/>
      <c r="T36" s="14"/>
      <c r="U36" s="43"/>
      <c r="V36" s="43"/>
      <c r="W36" s="43"/>
      <c r="X36" s="43"/>
      <c r="Y36" s="43"/>
      <c r="Z36" s="43"/>
    </row>
    <row r="37" spans="1:26" ht="12.75" customHeight="1" x14ac:dyDescent="0.15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2.75" customHeight="1" x14ac:dyDescent="0.15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2.75" customHeight="1" x14ac:dyDescent="0.15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12.75" customHeight="1" x14ac:dyDescent="0.15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2.75" customHeight="1" x14ac:dyDescent="0.15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2.75" customHeight="1" x14ac:dyDescent="0.15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2.75" customHeight="1" x14ac:dyDescent="0.15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12.75" customHeight="1" x14ac:dyDescent="0.15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12.75" customHeight="1" x14ac:dyDescent="0.15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2.75" customHeight="1" x14ac:dyDescent="0.15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spans="1:26" ht="12.75" customHeight="1" x14ac:dyDescent="0.15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spans="1:26" ht="12.75" customHeight="1" x14ac:dyDescent="0.15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spans="1:26" ht="12.75" customHeight="1" x14ac:dyDescent="0.15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spans="1:26" ht="12.75" customHeight="1" x14ac:dyDescent="0.15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spans="1:26" ht="12.75" customHeight="1" x14ac:dyDescent="0.15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spans="1:26" ht="12.75" customHeight="1" x14ac:dyDescent="0.15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spans="1:26" ht="12.75" customHeight="1" x14ac:dyDescent="0.15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spans="1:26" ht="12.75" customHeight="1" x14ac:dyDescent="0.15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spans="1:26" ht="12.75" customHeight="1" x14ac:dyDescent="0.1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spans="1:26" ht="12.75" customHeight="1" x14ac:dyDescent="0.15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spans="1:26" ht="12.75" customHeight="1" x14ac:dyDescent="0.15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spans="1:26" ht="12.75" customHeight="1" x14ac:dyDescent="0.15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spans="1:26" ht="12.75" customHeight="1" x14ac:dyDescent="0.15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spans="1:26" ht="12.75" customHeight="1" x14ac:dyDescent="0.15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spans="1:26" ht="12.75" customHeight="1" x14ac:dyDescent="0.15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:26" ht="12.75" customHeight="1" x14ac:dyDescent="0.15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spans="1:26" ht="12.75" customHeight="1" x14ac:dyDescent="0.15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spans="1:26" ht="12.75" customHeight="1" x14ac:dyDescent="0.15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spans="1:26" ht="12.75" customHeight="1" x14ac:dyDescent="0.15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spans="1:26" ht="12.75" customHeight="1" x14ac:dyDescent="0.15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spans="1:26" ht="12.75" customHeight="1" x14ac:dyDescent="0.15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spans="1:26" ht="12.75" customHeight="1" x14ac:dyDescent="0.15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spans="1:26" ht="12.75" customHeight="1" x14ac:dyDescent="0.15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spans="1:26" ht="12.75" customHeight="1" x14ac:dyDescent="0.15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spans="1:26" ht="12.75" customHeight="1" x14ac:dyDescent="0.15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spans="1:26" ht="12.75" customHeight="1" x14ac:dyDescent="0.15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spans="1:26" ht="12.75" customHeight="1" x14ac:dyDescent="0.15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spans="1:26" ht="12.75" customHeight="1" x14ac:dyDescent="0.15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spans="1:26" ht="12.75" customHeight="1" x14ac:dyDescent="0.15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spans="1:26" ht="12.75" customHeight="1" x14ac:dyDescent="0.15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spans="1:26" ht="12.75" customHeight="1" x14ac:dyDescent="0.15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spans="1:26" ht="12.75" customHeight="1" x14ac:dyDescent="0.15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 ht="12.75" customHeight="1" x14ac:dyDescent="0.15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spans="1:26" ht="12.75" customHeight="1" x14ac:dyDescent="0.15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</sheetData>
  <mergeCells count="3">
    <mergeCell ref="D3:E3"/>
    <mergeCell ref="D4:E4"/>
    <mergeCell ref="B5:T5"/>
  </mergeCells>
  <conditionalFormatting sqref="L7:L31">
    <cfRule type="cellIs" dxfId="4" priority="1" operator="lessThanOrEqual">
      <formula>4</formula>
    </cfRule>
    <cfRule type="cellIs" dxfId="3" priority="2" operator="between">
      <formula>5</formula>
      <formula>9</formula>
    </cfRule>
    <cfRule type="cellIs" dxfId="2" priority="3" operator="between">
      <formula>10</formula>
      <formula>16</formula>
    </cfRule>
    <cfRule type="cellIs" dxfId="1" priority="4" operator="greaterThanOrEqual">
      <formula>17</formula>
    </cfRule>
  </conditionalFormatting>
  <conditionalFormatting sqref="V7:V32">
    <cfRule type="containsText" dxfId="0" priority="5" operator="containsText" text="Crítico"/>
  </conditionalFormatting>
  <dataValidations count="5">
    <dataValidation type="list" sqref="H7:H31" xr:uid="{00000000-0002-0000-0100-000000000000}">
      <formula1>"Rara,Poco probable,Posible,Probable,Casi segura"</formula1>
    </dataValidation>
    <dataValidation type="list" sqref="J7:J31" xr:uid="{00000000-0002-0000-0100-000001000000}">
      <formula1>"Insignificante,Menor,Moderado,Mayor,Crítico"</formula1>
    </dataValidation>
    <dataValidation type="list" sqref="S7:S31" xr:uid="{00000000-0002-0000-0100-000002000000}">
      <formula1>"Evitar,Mitigar,Transferir,Aceptar,Evitar y mitigar,Mitigar y transferir,Evitar y transferir,Aceptar y mitigar"</formula1>
    </dataValidation>
    <dataValidation type="whole" sqref="I7:I32 K7:K32" xr:uid="{00000000-0002-0000-0100-000003000000}">
      <formula1>1</formula1>
      <formula2>5</formula2>
    </dataValidation>
    <dataValidation type="list" sqref="O7:O32" xr:uid="{00000000-0002-0000-0100-000005000000}">
      <formula1>"Identificado,En tratamiento,En monitoreo,Materializado,Cerrado,Aceptado"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Referencias de Riesgos</vt:lpstr>
      <vt:lpstr>Riesgos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Chavez Salinas</cp:lastModifiedBy>
  <dcterms:modified xsi:type="dcterms:W3CDTF">2026-10-05T15:17:56Z</dcterms:modified>
</cp:coreProperties>
</file>
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90e051e644a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" sheetId="1" r:id="Rca39ed42f63b4647"/>
    <x:sheet xmlns:r="http://schemas.openxmlformats.org/officeDocument/2006/relationships" name="Sprint 2" sheetId="2" r:id="R0ff43bf50c234a52"/>
    <x:sheet xmlns:r="http://schemas.openxmlformats.org/officeDocument/2006/relationships" name="Sprint 3" sheetId="3" r:id="R50576e43d0614b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.0"/>
  </x:numFmts>
  <x:fonts count="5">
    <x:font>
      <x:sz val="11"/>
      <x:name val="Carlito"/>
    </x:font>
    <x:font>
      <x:sz val="10"/>
      <x:color rgb="FF172B4D"/>
      <x:name val="Arial"/>
    </x:font>
    <x:font>
      <x:b/>
      <x:sz val="16"/>
      <x:color rgb="FF163A5F"/>
      <x:name val="Arial"/>
    </x:font>
    <x:font>
      <x:i/>
      <x:sz val="10"/>
      <x:color rgb="FF172B4D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F1F5F9"/>
      </x:patternFill>
    </x:fill>
    <x:fill>
      <x:patternFill patternType="solid">
        <x:fgColor rgb="FFFFF5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color rgb="FF14532D"/>
      </x:font>
      <x:fill>
        <x:patternFill patternType="solid">
          <x:bgColor rgb="FFDCF3E3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4532D"/>
      </x:font>
      <x:fill>
        <x:patternFill patternType="solid">
          <x:bgColor rgb="FFDCF3E3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4532D"/>
      </x:font>
      <x:fill>
        <x:patternFill patternType="solid">
          <x:bgColor rgb="FFDCF3E3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a1092663734c2c" /><Relationship Type="http://schemas.openxmlformats.org/officeDocument/2006/relationships/theme" Target="/xl/theme/theme1.xml" Id="Rc1b4bd4e9337431d" /><Relationship Type="http://schemas.openxmlformats.org/officeDocument/2006/relationships/sharedStrings" Target="/xl/sharedStrings.xml" Id="Ra17f6033c6534a1a" /><Relationship Type="http://schemas.openxmlformats.org/officeDocument/2006/relationships/worksheet" Target="/xl/worksheets/sheet1.xml" Id="Rca39ed42f63b4647" /><Relationship Type="http://schemas.openxmlformats.org/officeDocument/2006/relationships/worksheet" Target="/xl/worksheets/sheet2.xml" Id="R0ff43bf50c234a52" /><Relationship Type="http://schemas.openxmlformats.org/officeDocument/2006/relationships/worksheet" Target="/xl/worksheets/sheet3.xml" Id="R50576e43d0614bc9" /></Relationships>
</file>

<file path=xl/tables/table1.xml><?xml version="1.0" encoding="utf-8"?>
<x:table xmlns:x="http://schemas.openxmlformats.org/spreadsheetml/2006/main" id="1" name="Sprint1Tasks" displayName="Sprint1Tasks" ref="A8:O71" headerRowCount="1" totalsRowCount="0" totalsRowShown="0">
  <x:autoFilter ref="A8:O71"/>
  <x:tableColumns count="15">
    <x:tableColumn id="1" name="ID tarea"/>
    <x:tableColumn id="2" name="Sprint"/>
    <x:tableColumn id="3" name="PBI relacionado"/>
    <x:tableColumn id="4" name="Tarea"/>
    <x:tableColumn id="5" name="Responsable"/>
    <x:tableColumn id="6" name="Dependencias"/>
    <x:tableColumn id="7" name="Salida verificable"/>
    <x:tableColumn id="8" name="Estado"/>
    <x:tableColumn id="9" name="Estimación horas"/>
    <x:tableColumn id="10" name="Horas restantes"/>
    <x:tableColumn id="11" name="Fecha objetivo"/>
    <x:tableColumn id="12" name="Fecha cierre"/>
    <x:tableColumn id="13" name="Cumple DoD"/>
    <x:tableColumn id="14" name="Bloqueo y acción"/>
    <x:tableColumn id="15" name="Evid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2Tasks" displayName="Sprint2Tasks" ref="A8:O83" headerRowCount="1" totalsRowCount="0" totalsRowShown="0">
  <x:autoFilter ref="A8:O83"/>
  <x:tableColumns count="15">
    <x:tableColumn id="1" name="ID tarea"/>
    <x:tableColumn id="2" name="Sprint"/>
    <x:tableColumn id="3" name="PBI relacionado"/>
    <x:tableColumn id="4" name="Tarea"/>
    <x:tableColumn id="5" name="Responsable"/>
    <x:tableColumn id="6" name="Dependencias"/>
    <x:tableColumn id="7" name="Salida verificable"/>
    <x:tableColumn id="8" name="Estado"/>
    <x:tableColumn id="9" name="Estimación horas"/>
    <x:tableColumn id="10" name="Horas restantes"/>
    <x:tableColumn id="11" name="Fecha objetivo"/>
    <x:tableColumn id="12" name="Fecha cierre"/>
    <x:tableColumn id="13" name="Cumple DoD"/>
    <x:tableColumn id="14" name="Bloqueo y acción"/>
    <x:tableColumn id="15" name="Evidenci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rint3Tasks" displayName="Sprint3Tasks" ref="A8:O18" headerRowCount="1" totalsRowCount="0" totalsRowShown="0">
  <x:autoFilter ref="A8:O18"/>
  <x:tableColumns count="15">
    <x:tableColumn id="1" name="ID tarea"/>
    <x:tableColumn id="2" name="Sprint"/>
    <x:tableColumn id="3" name="PBI relacionado"/>
    <x:tableColumn id="4" name="Tarea"/>
    <x:tableColumn id="5" name="Responsable"/>
    <x:tableColumn id="6" name="Dependencias"/>
    <x:tableColumn id="7" name="Salida verificable"/>
    <x:tableColumn id="8" name="Estado"/>
    <x:tableColumn id="9" name="Estimación horas"/>
    <x:tableColumn id="10" name="Horas restantes"/>
    <x:tableColumn id="11" name="Fecha objetivo"/>
    <x:tableColumn id="12" name="Fecha cierre"/>
    <x:tableColumn id="13" name="Cumple DoD"/>
    <x:tableColumn id="14" name="Bloqueo y acción"/>
    <x:tableColumn id="15" name="Evidenc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47d03761c240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3f13c2392144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557cc056f6345cd" /></Relationships>
</file>

<file path=xl/worksheets/sheet1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15" hidden="0" customWidth="1"/>
    <x:col min="2" max="2" width="18" hidden="0" customWidth="1"/>
    <x:col min="3" max="3" width="21" hidden="0" customWidth="1"/>
    <x:col min="4" max="4" width="65" hidden="0" customWidth="1"/>
    <x:col min="5" max="5" width="34" hidden="0" customWidth="1"/>
    <x:col min="6" max="6" width="28" hidden="0" customWidth="1"/>
    <x:col min="7" max="7" width="75" hidden="0" customWidth="1"/>
    <x:col min="8" max="8" width="23" hidden="0" customWidth="1"/>
    <x:col min="9" max="9" width="18" hidden="0" customWidth="1"/>
    <x:col min="10" max="10" width="18" hidden="0" customWidth="1"/>
    <x:col min="11" max="11" width="19" hidden="0" customWidth="1"/>
    <x:col min="12" max="12" width="19" hidden="0" customWidth="1"/>
    <x:col min="13" max="13" width="18" hidden="0" customWidth="1"/>
    <x:col min="14" max="14" width="42" hidden="0" customWidth="1"/>
    <x:col min="15" max="15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3" t="str">
        <x:v>Sprint Backlog SFI  •  Sprint 1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Versión 2.0</x:v>
      </x:c>
      <x:c r="B3" s="2"/>
      <x:c r="C3" s="2"/>
      <x:c r="D3" s="4" t="d">
        <x:v>2026-10-03T12:00:00.000Z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 t="str">
        <x:v>Total tareas</x:v>
      </x:c>
      <x:c r="B5" s="2" t="n">
        <x:f>COUNTA(A9:A71)</x:f>
        <x:v>63</x:v>
      </x:c>
      <x:c r="C5" s="2" t="str">
        <x:v>Terminadas con DoD</x:v>
      </x:c>
      <x:c r="D5" s="2" t="n">
        <x:f>COUNTIFS(H9:H71,"Terminado",M9:M71,"Sí")</x:f>
        <x:v>0</x:v>
      </x:c>
      <x:c r="E5" s="2" t="str">
        <x:v>Bloqueadas</x:v>
      </x:c>
      <x:c r="F5" s="2" t="n">
        <x:f>COUNTIF(H9:H71,"Bloqueado")</x:f>
        <x:v>0</x:v>
      </x:c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5" t="str">
        <x:v>Objetivo: Bases del proyecto y ecommerce con cuentas, catálogo, carrito y pago.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5" t="str">
        <x:v>Weekly los jueves. Actualizar horas, fechas, bloqueos y evidencia; las tareas nuevas requieren estimación.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36" customHeight="1">
      <x:c r="A8" s="9" t="str">
        <x:v>ID tarea</x:v>
      </x:c>
      <x:c r="B8" s="9" t="str">
        <x:v>Sprint</x:v>
      </x:c>
      <x:c r="C8" s="9" t="str">
        <x:v>PBI relacionado</x:v>
      </x:c>
      <x:c r="D8" s="9" t="str">
        <x:v>Tarea</x:v>
      </x:c>
      <x:c r="E8" s="9" t="str">
        <x:v>Responsable</x:v>
      </x:c>
      <x:c r="F8" s="9" t="str">
        <x:v>Dependencias</x:v>
      </x:c>
      <x:c r="G8" s="9" t="str">
        <x:v>Salida verificable</x:v>
      </x:c>
      <x:c r="H8" s="9" t="str">
        <x:v>Estado</x:v>
      </x:c>
      <x:c r="I8" s="9" t="str">
        <x:v>Estimación horas</x:v>
      </x:c>
      <x:c r="J8" s="9" t="str">
        <x:v>Horas restantes</x:v>
      </x:c>
      <x:c r="K8" s="9" t="str">
        <x:v>Fecha objetivo</x:v>
      </x:c>
      <x:c r="L8" s="9" t="str">
        <x:v>Fecha cierre</x:v>
      </x:c>
      <x:c r="M8" s="9" t="str">
        <x:v>Cumple DoD</x:v>
      </x:c>
      <x:c r="N8" s="9" t="str">
        <x:v>Bloqueo y acción</x:v>
      </x:c>
      <x:c r="O8" s="9" t="str">
        <x:v>Evidencia</x:v>
      </x:c>
    </x:row>
    <x:row r="9" ht="38" customHeight="1">
      <x:c r="A9" s="6" t="str">
        <x:v>SB1-001</x:v>
      </x:c>
      <x:c r="B9" s="6" t="str">
        <x:v>Sprint 1</x:v>
      </x:c>
      <x:c r="C9" s="6" t="str">
        <x:v>TA-001</x:v>
      </x:c>
      <x:c r="D9" s="6" t="str">
        <x:v>Definir el Product Goal, el problema y la propuesta de valor de SFI.</x:v>
      </x:c>
      <x:c r="E9" s="6" t="str">
        <x:v>Felipe Chávez</x:v>
      </x:c>
      <x:c r="F9" s="6" t="str">
        <x:v>Ninguna</x:v>
      </x:c>
      <x:c r="G9" s="6" t="str">
        <x:v>Product Goal redactado; problema y valor identificados; aprobación del Product Owner.</x:v>
      </x:c>
      <x:c r="H9" s="11" t="str">
        <x:v>Por verificar</x:v>
      </x:c>
      <x:c r="I9" s="12"/>
      <x:c r="J9" s="12"/>
      <x:c r="K9" s="13"/>
      <x:c r="L9" s="13"/>
      <x:c r="M9" s="11"/>
      <x:c r="N9" s="11"/>
      <x:c r="O9" s="11" t="str">
        <x:v>Pendiente de vincular</x:v>
      </x:c>
    </x:row>
    <x:row r="10" ht="38" customHeight="1">
      <x:c r="A10" s="10" t="str">
        <x:v>SB1-002</x:v>
      </x:c>
      <x:c r="B10" s="10" t="str">
        <x:v>Sprint 1</x:v>
      </x:c>
      <x:c r="C10" s="10" t="str">
        <x:v>TA-002</x:v>
      </x:c>
      <x:c r="D10" s="10" t="str">
        <x:v>Identificar usuarios, stakeholders y responsabilidades del equipo Scrum.</x:v>
      </x:c>
      <x:c r="E10" s="10" t="str">
        <x:v>Felipe Chávez</x:v>
      </x:c>
      <x:c r="F10" s="10" t="str">
        <x:v>TA-001</x:v>
      </x:c>
      <x:c r="G10" s="10" t="str">
        <x:v>Usuarios y stakeholders registrados; roles Scrum asignados; responsabilidades comunicadas.</x:v>
      </x:c>
      <x:c r="H10" s="11" t="str">
        <x:v>Por verificar</x:v>
      </x:c>
      <x:c r="I10" s="12"/>
      <x:c r="J10" s="12"/>
      <x:c r="K10" s="13"/>
      <x:c r="L10" s="13"/>
      <x:c r="M10" s="11"/>
      <x:c r="N10" s="11"/>
      <x:c r="O10" s="11" t="str">
        <x:v>Pendiente de vincular</x:v>
      </x:c>
    </x:row>
    <x:row r="11" ht="38" customHeight="1">
      <x:c r="A11" s="6" t="str">
        <x:v>SB1-003</x:v>
      </x:c>
      <x:c r="B11" s="6" t="str">
        <x:v>Sprint 1</x:v>
      </x:c>
      <x:c r="C11" s="6" t="str">
        <x:v>TA-003</x:v>
      </x:c>
      <x:c r="D11" s="6" t="str">
        <x:v>Crear y priorizar el Product Backlog inicial del proyecto.</x:v>
      </x:c>
      <x:c r="E11" s="6" t="str">
        <x:v>Felipe Chávez</x:v>
      </x:c>
      <x:c r="F11" s="6" t="str">
        <x:v>TA-001, TA-002</x:v>
      </x:c>
      <x:c r="G11" s="6" t="str">
        <x:v>PBIs identificados; prioridades asignadas; distribución en tres sprints definida; backlog revisado por el equipo.</x:v>
      </x:c>
      <x:c r="H11" s="11" t="str">
        <x:v>Por verificar</x:v>
      </x:c>
      <x:c r="I11" s="12"/>
      <x:c r="J11" s="12"/>
      <x:c r="K11" s="13"/>
      <x:c r="L11" s="13"/>
      <x:c r="M11" s="11"/>
      <x:c r="N11" s="11"/>
      <x:c r="O11" s="11" t="str">
        <x:v>Pendiente de vincular</x:v>
      </x:c>
    </x:row>
    <x:row r="12" ht="38" customHeight="1">
      <x:c r="A12" s="10" t="str">
        <x:v>SB1-004</x:v>
      </x:c>
      <x:c r="B12" s="10" t="str">
        <x:v>Sprint 1</x:v>
      </x:c>
      <x:c r="C12" s="10" t="str">
        <x:v>TA-004</x:v>
      </x:c>
      <x:c r="D12" s="10" t="str">
        <x:v>Definir criterios de terminado y aceptación, riesgos y seguimiento mediante weeklys.</x:v>
      </x:c>
      <x:c r="E12" s="10" t="str">
        <x:v>Felipe Chávez / Franco Miranda</x:v>
      </x:c>
      <x:c r="F12" s="10" t="str">
        <x:v>TA-002</x:v>
      </x:c>
      <x:c r="G12" s="10" t="str">
        <x:v>DoD documentada; weekly de los jueves definida; riesgos y acuerdos de comunicación registrados.</x:v>
      </x:c>
      <x:c r="H12" s="11" t="str">
        <x:v>Por verificar</x:v>
      </x:c>
      <x:c r="I12" s="12"/>
      <x:c r="J12" s="12"/>
      <x:c r="K12" s="13"/>
      <x:c r="L12" s="13"/>
      <x:c r="M12" s="11"/>
      <x:c r="N12" s="11"/>
      <x:c r="O12" s="11" t="str">
        <x:v>Pendiente de vincular</x:v>
      </x:c>
    </x:row>
    <x:row r="13" ht="38" customHeight="1">
      <x:c r="A13" s="6" t="str">
        <x:v>SB1-005</x:v>
      </x:c>
      <x:c r="B13" s="6" t="str">
        <x:v>Sprint 1</x:v>
      </x:c>
      <x:c r="C13" s="6" t="str">
        <x:v>TA-005</x:v>
      </x:c>
      <x:c r="D13" s="6" t="str">
        <x:v>Configurar el proyecto Django, la base de datos y el ambiente de desarrollo compartido.</x:v>
      </x:c>
      <x:c r="E13" s="6" t="str">
        <x:v>Alonso Urrutia</x:v>
      </x:c>
      <x:c r="F13" s="6" t="str">
        <x:v>TA-003</x:v>
      </x:c>
      <x:c r="G13" s="6" t="str">
        <x:v>Proyecto ejecutable; conexión a base de datos operativa; dependencias documentadas; instalación reproducible.</x:v>
      </x:c>
      <x:c r="H13" s="11" t="str">
        <x:v>Por verificar</x:v>
      </x:c>
      <x:c r="I13" s="12"/>
      <x:c r="J13" s="12"/>
      <x:c r="K13" s="13"/>
      <x:c r="L13" s="13"/>
      <x:c r="M13" s="11"/>
      <x:c r="N13" s="11"/>
      <x:c r="O13" s="11" t="str">
        <x:v>Pendiente de vincular</x:v>
      </x:c>
    </x:row>
    <x:row r="14" ht="38" customHeight="1">
      <x:c r="A14" s="10" t="str">
        <x:v>SB1-006</x:v>
      </x:c>
      <x:c r="B14" s="10" t="str">
        <x:v>Sprint 1</x:v>
      </x:c>
      <x:c r="C14" s="10" t="str">
        <x:v>TA-006</x:v>
      </x:c>
      <x:c r="D14" s="10" t="str">
        <x:v>Definir la estructura modular, rutas, configuraciones y estándares técnicos.</x:v>
      </x:c>
      <x:c r="E14" s="10" t="str">
        <x:v>Alonso Urrutia</x:v>
      </x:c>
      <x:c r="F14" s="10" t="str">
        <x:v>TA-005</x:v>
      </x:c>
      <x:c r="G14" s="10" t="str">
        <x:v>Módulos separados; rutas base disponibles; configuración por ambiente; convenciones acordadas.</x:v>
      </x:c>
      <x:c r="H14" s="11" t="str">
        <x:v>Por verificar</x:v>
      </x:c>
      <x:c r="I14" s="12"/>
      <x:c r="J14" s="12"/>
      <x:c r="K14" s="13"/>
      <x:c r="L14" s="13"/>
      <x:c r="M14" s="11"/>
      <x:c r="N14" s="11"/>
      <x:c r="O14" s="11" t="str">
        <x:v>Pendiente de vincular</x:v>
      </x:c>
    </x:row>
    <x:row r="15" ht="38" customHeight="1">
      <x:c r="A15" s="6" t="str">
        <x:v>SB1-007</x:v>
      </x:c>
      <x:c r="B15" s="6" t="str">
        <x:v>Sprint 1</x:v>
      </x:c>
      <x:c r="C15" s="6" t="str">
        <x:v>HU-001</x:v>
      </x:c>
      <x:c r="D15" s="6" t="str">
        <x:v>Diseñar o ajustar interfaz y mensajes para experiencia transversal.</x:v>
      </x:c>
      <x:c r="E15" s="6" t="str">
        <x:v>Vicente Palma</x:v>
      </x:c>
      <x:c r="F15" s="6" t="str">
        <x:v>TA-005</x:v>
      </x:c>
      <x:c r="G15" s="6" t="str">
        <x:v>Vista o flujo revisado, campos y mensajes definidos y comportamiento móvil considerado.</x:v>
      </x:c>
      <x:c r="H15" s="11" t="str">
        <x:v>Por verificar</x:v>
      </x:c>
      <x:c r="I15" s="12"/>
      <x:c r="J15" s="12"/>
      <x:c r="K15" s="13"/>
      <x:c r="L15" s="13"/>
      <x:c r="M15" s="11"/>
      <x:c r="N15" s="11"/>
      <x:c r="O15" s="11" t="str">
        <x:v>Pendiente de vincular</x:v>
      </x:c>
    </x:row>
    <x:row r="16" ht="38" customHeight="1">
      <x:c r="A16" s="10" t="str">
        <x:v>SB1-008</x:v>
      </x:c>
      <x:c r="B16" s="10" t="str">
        <x:v>Sprint 1</x:v>
      </x:c>
      <x:c r="C16" s="10" t="str">
        <x:v>HU-001</x:v>
      </x:c>
      <x:c r="D16" s="10" t="str">
        <x:v>Implementar la función para una navegación base clara y adaptable.</x:v>
      </x:c>
      <x:c r="E16" s="10" t="str">
        <x:v>Alonso Urrutia</x:v>
      </x:c>
      <x:c r="F16" s="10" t="str">
        <x:v>SB1-007</x:v>
      </x:c>
      <x:c r="G16" s="10" t="str">
        <x:v>Página inicial disponible; navegación funcional; componentes base reutilizables; diseño responsive.</x:v>
      </x:c>
      <x:c r="H16" s="11" t="str">
        <x:v>Por verificar</x:v>
      </x:c>
      <x:c r="I16" s="12"/>
      <x:c r="J16" s="12"/>
      <x:c r="K16" s="13"/>
      <x:c r="L16" s="13"/>
      <x:c r="M16" s="11"/>
      <x:c r="N16" s="11"/>
      <x:c r="O16" s="11" t="str">
        <x:v>Pendiente de vincular</x:v>
      </x:c>
    </x:row>
    <x:row r="17" ht="49" customHeight="1">
      <x:c r="A17" s="6" t="str">
        <x:v>SB1-009</x:v>
      </x:c>
      <x:c r="B17" s="6" t="str">
        <x:v>Sprint 1</x:v>
      </x:c>
      <x:c r="C17" s="6" t="str">
        <x:v>HU-001</x:v>
      </x:c>
      <x:c r="D17" s="6" t="str">
        <x:v>Verificar criterios de aceptación, permisos y casos negativos de HU-001.</x:v>
      </x:c>
      <x:c r="E17" s="6" t="str">
        <x:v>Franco Miranda</x:v>
      </x:c>
      <x:c r="F17" s="6" t="str">
        <x:v>SB1-008</x:v>
      </x:c>
      <x:c r="G17" s="6" t="str">
        <x:v>Casos ejecutados y evidencia vinculada; defectos clasificados; criterios del PBI verificados: Página inicial disponible; navegación funcional; componentes base reutilizables; diseño responsive.</x:v>
      </x:c>
      <x:c r="H17" s="11" t="str">
        <x:v>Por verificar</x:v>
      </x:c>
      <x:c r="I17" s="12"/>
      <x:c r="J17" s="12"/>
      <x:c r="K17" s="13"/>
      <x:c r="L17" s="13"/>
      <x:c r="M17" s="11"/>
      <x:c r="N17" s="11"/>
      <x:c r="O17" s="11" t="str">
        <x:v>Pendiente de vincular</x:v>
      </x:c>
    </x:row>
    <x:row r="18" ht="38" customHeight="1">
      <x:c r="A18" s="10" t="str">
        <x:v>SB1-010</x:v>
      </x:c>
      <x:c r="B18" s="10" t="str">
        <x:v>Sprint 1</x:v>
      </x:c>
      <x:c r="C18" s="10" t="str">
        <x:v>HU-002</x:v>
      </x:c>
      <x:c r="D18" s="10" t="str">
        <x:v>Diseñar o ajustar interfaz y mensajes para usuarios.</x:v>
      </x:c>
      <x:c r="E18" s="10" t="str">
        <x:v>Vicente Palma</x:v>
      </x:c>
      <x:c r="F18" s="10" t="str">
        <x:v>TA-005</x:v>
      </x:c>
      <x:c r="G18" s="10" t="str">
        <x:v>Vista o flujo revisado, campos y mensajes definidos y comportamiento móvil considerado.</x:v>
      </x:c>
      <x:c r="H18" s="11" t="str">
        <x:v>Por verificar</x:v>
      </x:c>
      <x:c r="I18" s="12"/>
      <x:c r="J18" s="12"/>
      <x:c r="K18" s="13"/>
      <x:c r="L18" s="13"/>
      <x:c r="M18" s="11"/>
      <x:c r="N18" s="11"/>
      <x:c r="O18" s="11" t="str">
        <x:v>Pendiente de vincular</x:v>
      </x:c>
    </x:row>
    <x:row r="19" ht="38" customHeight="1">
      <x:c r="A19" s="6" t="str">
        <x:v>SB1-011</x:v>
      </x:c>
      <x:c r="B19" s="6" t="str">
        <x:v>Sprint 1</x:v>
      </x:c>
      <x:c r="C19" s="6" t="str">
        <x:v>HU-002</x:v>
      </x:c>
      <x:c r="D19" s="6" t="str">
        <x:v>Implementar la función para registrarme e iniciar sesión.</x:v>
      </x:c>
      <x:c r="E19" s="6" t="str">
        <x:v>Alonso Urrutia</x:v>
      </x:c>
      <x:c r="F19" s="6" t="str">
        <x:v>SB1-010</x:v>
      </x:c>
      <x:c r="G19" s="6" t="str">
        <x:v>Registro válido; correo único; inicio y cierre de sesión; mensajes ante datos incorrectos.</x:v>
      </x:c>
      <x:c r="H19" s="11" t="str">
        <x:v>Por verificar</x:v>
      </x:c>
      <x:c r="I19" s="12"/>
      <x:c r="J19" s="12"/>
      <x:c r="K19" s="13"/>
      <x:c r="L19" s="13"/>
      <x:c r="M19" s="11"/>
      <x:c r="N19" s="11"/>
      <x:c r="O19" s="11" t="str">
        <x:v>Pendiente de vincular</x:v>
      </x:c>
    </x:row>
    <x:row r="20" ht="49" customHeight="1">
      <x:c r="A20" s="10" t="str">
        <x:v>SB1-012</x:v>
      </x:c>
      <x:c r="B20" s="10" t="str">
        <x:v>Sprint 1</x:v>
      </x:c>
      <x:c r="C20" s="10" t="str">
        <x:v>HU-002</x:v>
      </x:c>
      <x:c r="D20" s="10" t="str">
        <x:v>Verificar criterios de aceptación, permisos y casos negativos de HU-002.</x:v>
      </x:c>
      <x:c r="E20" s="10" t="str">
        <x:v>Franco Miranda</x:v>
      </x:c>
      <x:c r="F20" s="10" t="str">
        <x:v>SB1-011</x:v>
      </x:c>
      <x:c r="G20" s="10" t="str">
        <x:v>Casos ejecutados y evidencia vinculada; defectos clasificados; criterios del PBI verificados: Registro válido; correo único; inicio y cierre de sesión; mensajes ante datos incorrectos.</x:v>
      </x:c>
      <x:c r="H20" s="11" t="str">
        <x:v>Por verificar</x:v>
      </x:c>
      <x:c r="I20" s="12"/>
      <x:c r="J20" s="12"/>
      <x:c r="K20" s="13"/>
      <x:c r="L20" s="13"/>
      <x:c r="M20" s="11"/>
      <x:c r="N20" s="11"/>
      <x:c r="O20" s="11" t="str">
        <x:v>Pendiente de vincular</x:v>
      </x:c>
    </x:row>
    <x:row r="21" ht="38" customHeight="1">
      <x:c r="A21" s="6" t="str">
        <x:v>SB1-013</x:v>
      </x:c>
      <x:c r="B21" s="6" t="str">
        <x:v>Sprint 1</x:v>
      </x:c>
      <x:c r="C21" s="6" t="str">
        <x:v>HU-003</x:v>
      </x:c>
      <x:c r="D21" s="6" t="str">
        <x:v>Diseñar o ajustar interfaz y mensajes para usuarios.</x:v>
      </x:c>
      <x:c r="E21" s="6" t="str">
        <x:v>Vicente Palma</x:v>
      </x:c>
      <x:c r="F21" s="6" t="str">
        <x:v>HU-002</x:v>
      </x:c>
      <x:c r="G21" s="6" t="str">
        <x:v>Vista o flujo revisado, campos y mensajes definidos y comportamiento móvil considerado.</x:v>
      </x:c>
      <x:c r="H21" s="11" t="str">
        <x:v>Por verificar</x:v>
      </x:c>
      <x:c r="I21" s="12"/>
      <x:c r="J21" s="12"/>
      <x:c r="K21" s="13"/>
      <x:c r="L21" s="13"/>
      <x:c r="M21" s="11"/>
      <x:c r="N21" s="11"/>
      <x:c r="O21" s="11" t="str">
        <x:v>Pendiente de vincular</x:v>
      </x:c>
    </x:row>
    <x:row r="22" ht="38" customHeight="1">
      <x:c r="A22" s="10" t="str">
        <x:v>SB1-014</x:v>
      </x:c>
      <x:c r="B22" s="10" t="str">
        <x:v>Sprint 1</x:v>
      </x:c>
      <x:c r="C22" s="10" t="str">
        <x:v>HU-003</x:v>
      </x:c>
      <x:c r="D22" s="10" t="str">
        <x:v>Implementar la función para recuperar su contraseña.</x:v>
      </x:c>
      <x:c r="E22" s="10" t="str">
        <x:v>Alonso Urrutia</x:v>
      </x:c>
      <x:c r="F22" s="10" t="str">
        <x:v>SB1-013</x:v>
      </x:c>
      <x:c r="G22" s="10" t="str">
        <x:v>Solicitud por correo; enlace temporal; cambio de contraseña; confirmación al usuario.</x:v>
      </x:c>
      <x:c r="H22" s="11" t="str">
        <x:v>Por verificar</x:v>
      </x:c>
      <x:c r="I22" s="12"/>
      <x:c r="J22" s="12"/>
      <x:c r="K22" s="13"/>
      <x:c r="L22" s="13"/>
      <x:c r="M22" s="11"/>
      <x:c r="N22" s="11"/>
      <x:c r="O22" s="11" t="str">
        <x:v>Pendiente de vincular</x:v>
      </x:c>
    </x:row>
    <x:row r="23" ht="49" customHeight="1">
      <x:c r="A23" s="6" t="str">
        <x:v>SB1-015</x:v>
      </x:c>
      <x:c r="B23" s="6" t="str">
        <x:v>Sprint 1</x:v>
      </x:c>
      <x:c r="C23" s="6" t="str">
        <x:v>HU-003</x:v>
      </x:c>
      <x:c r="D23" s="6" t="str">
        <x:v>Verificar criterios de aceptación, permisos y casos negativos de HU-003.</x:v>
      </x:c>
      <x:c r="E23" s="6" t="str">
        <x:v>Franco Miranda</x:v>
      </x:c>
      <x:c r="F23" s="6" t="str">
        <x:v>SB1-014</x:v>
      </x:c>
      <x:c r="G23" s="6" t="str">
        <x:v>Casos ejecutados y evidencia vinculada; defectos clasificados; criterios del PBI verificados: Solicitud por correo; enlace temporal; cambio de contraseña; confirmación al usuario.</x:v>
      </x:c>
      <x:c r="H23" s="11" t="str">
        <x:v>Por verificar</x:v>
      </x:c>
      <x:c r="I23" s="12"/>
      <x:c r="J23" s="12"/>
      <x:c r="K23" s="13"/>
      <x:c r="L23" s="13"/>
      <x:c r="M23" s="11"/>
      <x:c r="N23" s="11"/>
      <x:c r="O23" s="11" t="str">
        <x:v>Pendiente de vincular</x:v>
      </x:c>
    </x:row>
    <x:row r="24" ht="38" customHeight="1">
      <x:c r="A24" s="10" t="str">
        <x:v>SB1-016</x:v>
      </x:c>
      <x:c r="B24" s="10" t="str">
        <x:v>Sprint 1</x:v>
      </x:c>
      <x:c r="C24" s="10" t="str">
        <x:v>HU-004</x:v>
      </x:c>
      <x:c r="D24" s="10" t="str">
        <x:v>Implementar la función para asignar roles y permisos.</x:v>
      </x:c>
      <x:c r="E24" s="10" t="str">
        <x:v>Alonso Urrutia</x:v>
      </x:c>
      <x:c r="F24" s="10" t="str">
        <x:v>HU-002</x:v>
      </x:c>
      <x:c r="G24" s="10" t="str">
        <x:v>Roles diferenciados; accesos protegidos; usuarios no autorizados bloqueados; pruebas de permisos aprobadas.</x:v>
      </x:c>
      <x:c r="H24" s="11" t="str">
        <x:v>Por verificar</x:v>
      </x:c>
      <x:c r="I24" s="12"/>
      <x:c r="J24" s="12"/>
      <x:c r="K24" s="13"/>
      <x:c r="L24" s="13"/>
      <x:c r="M24" s="11"/>
      <x:c r="N24" s="11"/>
      <x:c r="O24" s="11" t="str">
        <x:v>Pendiente de vincular</x:v>
      </x:c>
    </x:row>
    <x:row r="25" ht="49" customHeight="1">
      <x:c r="A25" s="6" t="str">
        <x:v>SB1-017</x:v>
      </x:c>
      <x:c r="B25" s="6" t="str">
        <x:v>Sprint 1</x:v>
      </x:c>
      <x:c r="C25" s="6" t="str">
        <x:v>HU-004</x:v>
      </x:c>
      <x:c r="D25" s="6" t="str">
        <x:v>Verificar criterios de aceptación, permisos y casos negativos de HU-004.</x:v>
      </x:c>
      <x:c r="E25" s="6" t="str">
        <x:v>Franco Miranda</x:v>
      </x:c>
      <x:c r="F25" s="6" t="str">
        <x:v>SB1-016</x:v>
      </x:c>
      <x:c r="G25" s="6" t="str">
        <x:v>Casos ejecutados y evidencia vinculada; defectos clasificados; criterios del PBI verificados: Roles diferenciados; accesos protegidos; usuarios no autorizados bloqueados; pruebas de permisos aprobadas.</x:v>
      </x:c>
      <x:c r="H25" s="11" t="str">
        <x:v>Por verificar</x:v>
      </x:c>
      <x:c r="I25" s="12"/>
      <x:c r="J25" s="12"/>
      <x:c r="K25" s="13"/>
      <x:c r="L25" s="13"/>
      <x:c r="M25" s="11"/>
      <x:c r="N25" s="11"/>
      <x:c r="O25" s="11" t="str">
        <x:v>Pendiente de vincular</x:v>
      </x:c>
    </x:row>
    <x:row r="26" ht="38" customHeight="1">
      <x:c r="A26" s="10" t="str">
        <x:v>SB1-018</x:v>
      </x:c>
      <x:c r="B26" s="10" t="str">
        <x:v>Sprint 1</x:v>
      </x:c>
      <x:c r="C26" s="10" t="str">
        <x:v>HU-005</x:v>
      </x:c>
      <x:c r="D26" s="10" t="str">
        <x:v>Diseñar o ajustar interfaz y mensajes para usuarios.</x:v>
      </x:c>
      <x:c r="E26" s="10" t="str">
        <x:v>Vicente Palma</x:v>
      </x:c>
      <x:c r="F26" s="10" t="str">
        <x:v>HU-002</x:v>
      </x:c>
      <x:c r="G26" s="10" t="str">
        <x:v>Vista o flujo revisado, campos y mensajes definidos y comportamiento móvil considerado.</x:v>
      </x:c>
      <x:c r="H26" s="11" t="str">
        <x:v>Por verificar</x:v>
      </x:c>
      <x:c r="I26" s="12"/>
      <x:c r="J26" s="12"/>
      <x:c r="K26" s="13"/>
      <x:c r="L26" s="13"/>
      <x:c r="M26" s="11"/>
      <x:c r="N26" s="11"/>
      <x:c r="O26" s="11" t="str">
        <x:v>Pendiente de vincular</x:v>
      </x:c>
    </x:row>
    <x:row r="27" ht="38" customHeight="1">
      <x:c r="A27" s="6" t="str">
        <x:v>SB1-019</x:v>
      </x:c>
      <x:c r="B27" s="6" t="str">
        <x:v>Sprint 1</x:v>
      </x:c>
      <x:c r="C27" s="6" t="str">
        <x:v>HU-005</x:v>
      </x:c>
      <x:c r="D27" s="6" t="str">
        <x:v>Implementar la función para consultar y actualizar los datos de su cuenta.</x:v>
      </x:c>
      <x:c r="E27" s="6" t="str">
        <x:v>Alonso Urrutia</x:v>
      </x:c>
      <x:c r="F27" s="6" t="str">
        <x:v>SB1-018</x:v>
      </x:c>
      <x:c r="G27" s="6" t="str">
        <x:v>Datos visibles; campos editables validados; cambios persistentes; mensajes de confirmación.</x:v>
      </x:c>
      <x:c r="H27" s="11" t="str">
        <x:v>Por verificar</x:v>
      </x:c>
      <x:c r="I27" s="12"/>
      <x:c r="J27" s="12"/>
      <x:c r="K27" s="13"/>
      <x:c r="L27" s="13"/>
      <x:c r="M27" s="11"/>
      <x:c r="N27" s="11"/>
      <x:c r="O27" s="11" t="str">
        <x:v>Pendiente de vincular</x:v>
      </x:c>
    </x:row>
    <x:row r="28" ht="49" customHeight="1">
      <x:c r="A28" s="10" t="str">
        <x:v>SB1-020</x:v>
      </x:c>
      <x:c r="B28" s="10" t="str">
        <x:v>Sprint 1</x:v>
      </x:c>
      <x:c r="C28" s="10" t="str">
        <x:v>HU-005</x:v>
      </x:c>
      <x:c r="D28" s="10" t="str">
        <x:v>Verificar criterios de aceptación, permisos y casos negativos de HU-005.</x:v>
      </x:c>
      <x:c r="E28" s="10" t="str">
        <x:v>Franco Miranda</x:v>
      </x:c>
      <x:c r="F28" s="10" t="str">
        <x:v>SB1-019</x:v>
      </x:c>
      <x:c r="G28" s="10" t="str">
        <x:v>Casos ejecutados y evidencia vinculada; defectos clasificados; criterios del PBI verificados: Datos visibles; campos editables validados; cambios persistentes; mensajes de confirmación.</x:v>
      </x:c>
      <x:c r="H28" s="11" t="str">
        <x:v>Por verificar</x:v>
      </x:c>
      <x:c r="I28" s="12"/>
      <x:c r="J28" s="12"/>
      <x:c r="K28" s="13"/>
      <x:c r="L28" s="13"/>
      <x:c r="M28" s="11"/>
      <x:c r="N28" s="11"/>
      <x:c r="O28" s="11" t="str">
        <x:v>Pendiente de vincular</x:v>
      </x:c>
    </x:row>
    <x:row r="29" ht="38" customHeight="1">
      <x:c r="A29" s="6" t="str">
        <x:v>SB1-021</x:v>
      </x:c>
      <x:c r="B29" s="6" t="str">
        <x:v>Sprint 1</x:v>
      </x:c>
      <x:c r="C29" s="6" t="str">
        <x:v>HU-006</x:v>
      </x:c>
      <x:c r="D29" s="6" t="str">
        <x:v>Diseñar o ajustar interfaz y mensajes para catálogo.</x:v>
      </x:c>
      <x:c r="E29" s="6" t="str">
        <x:v>Vicente Palma</x:v>
      </x:c>
      <x:c r="F29" s="6" t="str">
        <x:v>HU-001</x:v>
      </x:c>
      <x:c r="G29" s="6" t="str">
        <x:v>Vista o flujo revisado, campos y mensajes definidos y comportamiento móvil considerado.</x:v>
      </x:c>
      <x:c r="H29" s="11" t="str">
        <x:v>Por verificar</x:v>
      </x:c>
      <x:c r="I29" s="12"/>
      <x:c r="J29" s="12"/>
      <x:c r="K29" s="13"/>
      <x:c r="L29" s="13"/>
      <x:c r="M29" s="11"/>
      <x:c r="N29" s="11"/>
      <x:c r="O29" s="11" t="str">
        <x:v>Pendiente de vincular</x:v>
      </x:c>
    </x:row>
    <x:row r="30" ht="38" customHeight="1">
      <x:c r="A30" s="10" t="str">
        <x:v>SB1-022</x:v>
      </x:c>
      <x:c r="B30" s="10" t="str">
        <x:v>Sprint 1</x:v>
      </x:c>
      <x:c r="C30" s="10" t="str">
        <x:v>HU-006</x:v>
      </x:c>
      <x:c r="D30" s="10" t="str">
        <x:v>Implementar la función para buscar y filtrar productos.</x:v>
      </x:c>
      <x:c r="E30" s="10" t="str">
        <x:v>Alonso Urrutia</x:v>
      </x:c>
      <x:c r="F30" s="10" t="str">
        <x:v>SB1-021</x:v>
      </x:c>
      <x:c r="G30" s="10" t="str">
        <x:v>Listado paginado; búsqueda por texto; filtros por categoría; solo productos publicados visibles.</x:v>
      </x:c>
      <x:c r="H30" s="11" t="str">
        <x:v>Por verificar</x:v>
      </x:c>
      <x:c r="I30" s="12"/>
      <x:c r="J30" s="12"/>
      <x:c r="K30" s="13"/>
      <x:c r="L30" s="13"/>
      <x:c r="M30" s="11"/>
      <x:c r="N30" s="11"/>
      <x:c r="O30" s="11" t="str">
        <x:v>Pendiente de vincular</x:v>
      </x:c>
    </x:row>
    <x:row r="31" ht="49" customHeight="1">
      <x:c r="A31" s="6" t="str">
        <x:v>SB1-023</x:v>
      </x:c>
      <x:c r="B31" s="6" t="str">
        <x:v>Sprint 1</x:v>
      </x:c>
      <x:c r="C31" s="6" t="str">
        <x:v>HU-006</x:v>
      </x:c>
      <x:c r="D31" s="6" t="str">
        <x:v>Verificar criterios de aceptación, permisos y casos negativos de HU-006.</x:v>
      </x:c>
      <x:c r="E31" s="6" t="str">
        <x:v>Franco Miranda</x:v>
      </x:c>
      <x:c r="F31" s="6" t="str">
        <x:v>SB1-022</x:v>
      </x:c>
      <x:c r="G31" s="6" t="str">
        <x:v>Casos ejecutados y evidencia vinculada; defectos clasificados; criterios del PBI verificados: Listado paginado; búsqueda por texto; filtros por categoría; solo productos publicados visibles.</x:v>
      </x:c>
      <x:c r="H31" s="11" t="str">
        <x:v>Por verificar</x:v>
      </x:c>
      <x:c r="I31" s="12"/>
      <x:c r="J31" s="12"/>
      <x:c r="K31" s="13"/>
      <x:c r="L31" s="13"/>
      <x:c r="M31" s="11"/>
      <x:c r="N31" s="11"/>
      <x:c r="O31" s="11" t="str">
        <x:v>Pendiente de vincular</x:v>
      </x:c>
    </x:row>
    <x:row r="32" ht="38" customHeight="1">
      <x:c r="A32" s="10" t="str">
        <x:v>SB1-024</x:v>
      </x:c>
      <x:c r="B32" s="10" t="str">
        <x:v>Sprint 1</x:v>
      </x:c>
      <x:c r="C32" s="10" t="str">
        <x:v>HU-007</x:v>
      </x:c>
      <x:c r="D32" s="10" t="str">
        <x:v>Diseñar o ajustar interfaz y mensajes para catálogo.</x:v>
      </x:c>
      <x:c r="E32" s="10" t="str">
        <x:v>Vicente Palma</x:v>
      </x:c>
      <x:c r="F32" s="10" t="str">
        <x:v>HU-006</x:v>
      </x:c>
      <x:c r="G32" s="10" t="str">
        <x:v>Vista o flujo revisado, campos y mensajes definidos y comportamiento móvil considerado.</x:v>
      </x:c>
      <x:c r="H32" s="11" t="str">
        <x:v>Por verificar</x:v>
      </x:c>
      <x:c r="I32" s="12"/>
      <x:c r="J32" s="12"/>
      <x:c r="K32" s="13"/>
      <x:c r="L32" s="13"/>
      <x:c r="M32" s="11"/>
      <x:c r="N32" s="11"/>
      <x:c r="O32" s="11" t="str">
        <x:v>Pendiente de vincular</x:v>
      </x:c>
    </x:row>
    <x:row r="33" ht="38" customHeight="1">
      <x:c r="A33" s="6" t="str">
        <x:v>SB1-025</x:v>
      </x:c>
      <x:c r="B33" s="6" t="str">
        <x:v>Sprint 1</x:v>
      </x:c>
      <x:c r="C33" s="6" t="str">
        <x:v>HU-007</x:v>
      </x:c>
      <x:c r="D33" s="6" t="str">
        <x:v>Implementar la función para revisar la ficha de un producto.</x:v>
      </x:c>
      <x:c r="E33" s="6" t="str">
        <x:v>Alonso Urrutia</x:v>
      </x:c>
      <x:c r="F33" s="6" t="str">
        <x:v>SB1-024</x:v>
      </x:c>
      <x:c r="G33" s="6" t="str">
        <x:v>Ficha completa; imágenes visibles; precio y oferta correctos; disponibilidad informada.</x:v>
      </x:c>
      <x:c r="H33" s="11" t="str">
        <x:v>Por verificar</x:v>
      </x:c>
      <x:c r="I33" s="12"/>
      <x:c r="J33" s="12"/>
      <x:c r="K33" s="13"/>
      <x:c r="L33" s="13"/>
      <x:c r="M33" s="11"/>
      <x:c r="N33" s="11"/>
      <x:c r="O33" s="11" t="str">
        <x:v>Pendiente de vincular</x:v>
      </x:c>
    </x:row>
    <x:row r="34" ht="49" customHeight="1">
      <x:c r="A34" s="10" t="str">
        <x:v>SB1-026</x:v>
      </x:c>
      <x:c r="B34" s="10" t="str">
        <x:v>Sprint 1</x:v>
      </x:c>
      <x:c r="C34" s="10" t="str">
        <x:v>HU-007</x:v>
      </x:c>
      <x:c r="D34" s="10" t="str">
        <x:v>Verificar criterios de aceptación, permisos y casos negativos de HU-007.</x:v>
      </x:c>
      <x:c r="E34" s="10" t="str">
        <x:v>Franco Miranda</x:v>
      </x:c>
      <x:c r="F34" s="10" t="str">
        <x:v>SB1-025</x:v>
      </x:c>
      <x:c r="G34" s="10" t="str">
        <x:v>Casos ejecutados y evidencia vinculada; defectos clasificados; criterios del PBI verificados: Ficha completa; imágenes visibles; precio y oferta correctos; disponibilidad informada.</x:v>
      </x:c>
      <x:c r="H34" s="11" t="str">
        <x:v>Por verificar</x:v>
      </x:c>
      <x:c r="I34" s="12"/>
      <x:c r="J34" s="12"/>
      <x:c r="K34" s="13"/>
      <x:c r="L34" s="13"/>
      <x:c r="M34" s="11"/>
      <x:c r="N34" s="11"/>
      <x:c r="O34" s="11" t="str">
        <x:v>Pendiente de vincular</x:v>
      </x:c>
    </x:row>
    <x:row r="35" ht="38" customHeight="1">
      <x:c r="A35" s="6" t="str">
        <x:v>SB1-027</x:v>
      </x:c>
      <x:c r="B35" s="6" t="str">
        <x:v>Sprint 1</x:v>
      </x:c>
      <x:c r="C35" s="6" t="str">
        <x:v>HU-008</x:v>
      </x:c>
      <x:c r="D35" s="6" t="str">
        <x:v>Diseñar o ajustar interfaz y mensajes para catálogo.</x:v>
      </x:c>
      <x:c r="E35" s="6" t="str">
        <x:v>Vicente Palma</x:v>
      </x:c>
      <x:c r="F35" s="6" t="str">
        <x:v>HU-004</x:v>
      </x:c>
      <x:c r="G35" s="6" t="str">
        <x:v>Vista o flujo revisado, campos y mensajes definidos y comportamiento móvil considerado.</x:v>
      </x:c>
      <x:c r="H35" s="11" t="str">
        <x:v>Por verificar</x:v>
      </x:c>
      <x:c r="I35" s="12"/>
      <x:c r="J35" s="12"/>
      <x:c r="K35" s="13"/>
      <x:c r="L35" s="13"/>
      <x:c r="M35" s="11"/>
      <x:c r="N35" s="11"/>
      <x:c r="O35" s="11" t="str">
        <x:v>Pendiente de vincular</x:v>
      </x:c>
    </x:row>
    <x:row r="36" ht="38" customHeight="1">
      <x:c r="A36" s="10" t="str">
        <x:v>SB1-028</x:v>
      </x:c>
      <x:c r="B36" s="10" t="str">
        <x:v>Sprint 1</x:v>
      </x:c>
      <x:c r="C36" s="10" t="str">
        <x:v>HU-008</x:v>
      </x:c>
      <x:c r="D36" s="10" t="str">
        <x:v>Implementar la función para crear y editar productos.</x:v>
      </x:c>
      <x:c r="E36" s="10" t="str">
        <x:v>Alonso Urrutia</x:v>
      </x:c>
      <x:c r="F36" s="10" t="str">
        <x:v>SB1-027</x:v>
      </x:c>
      <x:c r="G36" s="10" t="str">
        <x:v>Alta y edición disponibles; imágenes cargables; datos obligatorios validados; publicación controlada.</x:v>
      </x:c>
      <x:c r="H36" s="11" t="str">
        <x:v>Por verificar</x:v>
      </x:c>
      <x:c r="I36" s="12"/>
      <x:c r="J36" s="12"/>
      <x:c r="K36" s="13"/>
      <x:c r="L36" s="13"/>
      <x:c r="M36" s="11"/>
      <x:c r="N36" s="11"/>
      <x:c r="O36" s="11" t="str">
        <x:v>Pendiente de vincular</x:v>
      </x:c>
    </x:row>
    <x:row r="37" ht="49" customHeight="1">
      <x:c r="A37" s="6" t="str">
        <x:v>SB1-029</x:v>
      </x:c>
      <x:c r="B37" s="6" t="str">
        <x:v>Sprint 1</x:v>
      </x:c>
      <x:c r="C37" s="6" t="str">
        <x:v>HU-008</x:v>
      </x:c>
      <x:c r="D37" s="6" t="str">
        <x:v>Verificar criterios de aceptación, permisos y casos negativos de HU-008.</x:v>
      </x:c>
      <x:c r="E37" s="6" t="str">
        <x:v>Franco Miranda</x:v>
      </x:c>
      <x:c r="F37" s="6" t="str">
        <x:v>SB1-028</x:v>
      </x:c>
      <x:c r="G37" s="6" t="str">
        <x:v>Casos ejecutados y evidencia vinculada; defectos clasificados; criterios del PBI verificados: Alta y edición disponibles; imágenes cargables; datos obligatorios validados; publicación controlada.</x:v>
      </x:c>
      <x:c r="H37" s="11" t="str">
        <x:v>Por verificar</x:v>
      </x:c>
      <x:c r="I37" s="12"/>
      <x:c r="J37" s="12"/>
      <x:c r="K37" s="13"/>
      <x:c r="L37" s="13"/>
      <x:c r="M37" s="11"/>
      <x:c r="N37" s="11"/>
      <x:c r="O37" s="11" t="str">
        <x:v>Pendiente de vincular</x:v>
      </x:c>
    </x:row>
    <x:row r="38" ht="38" customHeight="1">
      <x:c r="A38" s="10" t="str">
        <x:v>SB1-030</x:v>
      </x:c>
      <x:c r="B38" s="10" t="str">
        <x:v>Sprint 1</x:v>
      </x:c>
      <x:c r="C38" s="10" t="str">
        <x:v>HU-009</x:v>
      </x:c>
      <x:c r="D38" s="10" t="str">
        <x:v>Diseñar o ajustar interfaz y mensajes para catálogo.</x:v>
      </x:c>
      <x:c r="E38" s="10" t="str">
        <x:v>Vicente Palma</x:v>
      </x:c>
      <x:c r="F38" s="10" t="str">
        <x:v>HU-008</x:v>
      </x:c>
      <x:c r="G38" s="10" t="str">
        <x:v>Vista o flujo revisado, campos y mensajes definidos y comportamiento móvil considerado.</x:v>
      </x:c>
      <x:c r="H38" s="11" t="str">
        <x:v>Por verificar</x:v>
      </x:c>
      <x:c r="I38" s="12"/>
      <x:c r="J38" s="12"/>
      <x:c r="K38" s="13"/>
      <x:c r="L38" s="13"/>
      <x:c r="M38" s="11"/>
      <x:c r="N38" s="11"/>
      <x:c r="O38" s="11" t="str">
        <x:v>Pendiente de vincular</x:v>
      </x:c>
    </x:row>
    <x:row r="39" ht="38" customHeight="1">
      <x:c r="A39" s="6" t="str">
        <x:v>SB1-031</x:v>
      </x:c>
      <x:c r="B39" s="6" t="str">
        <x:v>Sprint 1</x:v>
      </x:c>
      <x:c r="C39" s="6" t="str">
        <x:v>HU-009</x:v>
      </x:c>
      <x:c r="D39" s="6" t="str">
        <x:v>Implementar la función para gestionar categorías y ofertas.</x:v>
      </x:c>
      <x:c r="E39" s="6" t="str">
        <x:v>Alonso Urrutia</x:v>
      </x:c>
      <x:c r="F39" s="6" t="str">
        <x:v>SB1-030</x:v>
      </x:c>
      <x:c r="G39" s="6" t="str">
        <x:v>Categorías administrables; ofertas con vigencia; precios coherentes; cambios visibles en catálogo.</x:v>
      </x:c>
      <x:c r="H39" s="11" t="str">
        <x:v>Por verificar</x:v>
      </x:c>
      <x:c r="I39" s="12"/>
      <x:c r="J39" s="12"/>
      <x:c r="K39" s="13"/>
      <x:c r="L39" s="13"/>
      <x:c r="M39" s="11"/>
      <x:c r="N39" s="11"/>
      <x:c r="O39" s="11" t="str">
        <x:v>Pendiente de vincular</x:v>
      </x:c>
    </x:row>
    <x:row r="40" ht="49" customHeight="1">
      <x:c r="A40" s="10" t="str">
        <x:v>SB1-032</x:v>
      </x:c>
      <x:c r="B40" s="10" t="str">
        <x:v>Sprint 1</x:v>
      </x:c>
      <x:c r="C40" s="10" t="str">
        <x:v>HU-009</x:v>
      </x:c>
      <x:c r="D40" s="10" t="str">
        <x:v>Verificar criterios de aceptación, permisos y casos negativos de HU-009.</x:v>
      </x:c>
      <x:c r="E40" s="10" t="str">
        <x:v>Franco Miranda</x:v>
      </x:c>
      <x:c r="F40" s="10" t="str">
        <x:v>SB1-031</x:v>
      </x:c>
      <x:c r="G40" s="10" t="str">
        <x:v>Casos ejecutados y evidencia vinculada; defectos clasificados; criterios del PBI verificados: Categorías administrables; ofertas con vigencia; precios coherentes; cambios visibles en catálogo.</x:v>
      </x:c>
      <x:c r="H40" s="11" t="str">
        <x:v>Por verificar</x:v>
      </x:c>
      <x:c r="I40" s="12"/>
      <x:c r="J40" s="12"/>
      <x:c r="K40" s="13"/>
      <x:c r="L40" s="13"/>
      <x:c r="M40" s="11"/>
      <x:c r="N40" s="11"/>
      <x:c r="O40" s="11" t="str">
        <x:v>Pendiente de vincular</x:v>
      </x:c>
    </x:row>
    <x:row r="41" ht="38" customHeight="1">
      <x:c r="A41" s="6" t="str">
        <x:v>SB1-033</x:v>
      </x:c>
      <x:c r="B41" s="6" t="str">
        <x:v>Sprint 1</x:v>
      </x:c>
      <x:c r="C41" s="6" t="str">
        <x:v>HU-013</x:v>
      </x:c>
      <x:c r="D41" s="6" t="str">
        <x:v>Diseñar o ajustar interfaz y mensajes para carrito.</x:v>
      </x:c>
      <x:c r="E41" s="6" t="str">
        <x:v>Vicente Palma</x:v>
      </x:c>
      <x:c r="F41" s="6" t="str">
        <x:v>HU-006, HU-007</x:v>
      </x:c>
      <x:c r="G41" s="6" t="str">
        <x:v>Vista o flujo revisado, campos y mensajes definidos y comportamiento móvil considerado.</x:v>
      </x:c>
      <x:c r="H41" s="11" t="str">
        <x:v>Por verificar</x:v>
      </x:c>
      <x:c r="I41" s="12"/>
      <x:c r="J41" s="12"/>
      <x:c r="K41" s="13"/>
      <x:c r="L41" s="13"/>
      <x:c r="M41" s="11"/>
      <x:c r="N41" s="11"/>
      <x:c r="O41" s="11" t="str">
        <x:v>Pendiente de vincular</x:v>
      </x:c>
    </x:row>
    <x:row r="42" ht="38" customHeight="1">
      <x:c r="A42" s="10" t="str">
        <x:v>SB1-034</x:v>
      </x:c>
      <x:c r="B42" s="10" t="str">
        <x:v>Sprint 1</x:v>
      </x:c>
      <x:c r="C42" s="10" t="str">
        <x:v>HU-013</x:v>
      </x:c>
      <x:c r="D42" s="10" t="str">
        <x:v>Implementar la función para agregar y eliminar productos del carrito.</x:v>
      </x:c>
      <x:c r="E42" s="10" t="str">
        <x:v>Alonso Urrutia</x:v>
      </x:c>
      <x:c r="F42" s="10" t="str">
        <x:v>SB1-033</x:v>
      </x:c>
      <x:c r="G42" s="10" t="str">
        <x:v>Agregar desde catálogo y ficha; eliminar producto; carrito asociado a sesión; contenido persistente.</x:v>
      </x:c>
      <x:c r="H42" s="11" t="str">
        <x:v>Por verificar</x:v>
      </x:c>
      <x:c r="I42" s="12"/>
      <x:c r="J42" s="12"/>
      <x:c r="K42" s="13"/>
      <x:c r="L42" s="13"/>
      <x:c r="M42" s="11"/>
      <x:c r="N42" s="11"/>
      <x:c r="O42" s="11" t="str">
        <x:v>Pendiente de vincular</x:v>
      </x:c>
    </x:row>
    <x:row r="43" ht="49" customHeight="1">
      <x:c r="A43" s="6" t="str">
        <x:v>SB1-035</x:v>
      </x:c>
      <x:c r="B43" s="6" t="str">
        <x:v>Sprint 1</x:v>
      </x:c>
      <x:c r="C43" s="6" t="str">
        <x:v>HU-013</x:v>
      </x:c>
      <x:c r="D43" s="6" t="str">
        <x:v>Verificar criterios de aceptación, permisos y casos negativos de HU-013.</x:v>
      </x:c>
      <x:c r="E43" s="6" t="str">
        <x:v>Franco Miranda</x:v>
      </x:c>
      <x:c r="F43" s="6" t="str">
        <x:v>SB1-034</x:v>
      </x:c>
      <x:c r="G43" s="6" t="str">
        <x:v>Casos ejecutados y evidencia vinculada; defectos clasificados; criterios del PBI verificados: Agregar desde catálogo y ficha; eliminar producto; carrito asociado a sesión; contenido persistente.</x:v>
      </x:c>
      <x:c r="H43" s="11" t="str">
        <x:v>Por verificar</x:v>
      </x:c>
      <x:c r="I43" s="12"/>
      <x:c r="J43" s="12"/>
      <x:c r="K43" s="13"/>
      <x:c r="L43" s="13"/>
      <x:c r="M43" s="11"/>
      <x:c r="N43" s="11"/>
      <x:c r="O43" s="11" t="str">
        <x:v>Pendiente de vincular</x:v>
      </x:c>
    </x:row>
    <x:row r="44" ht="38" customHeight="1">
      <x:c r="A44" s="10" t="str">
        <x:v>SB1-036</x:v>
      </x:c>
      <x:c r="B44" s="10" t="str">
        <x:v>Sprint 1</x:v>
      </x:c>
      <x:c r="C44" s="10" t="str">
        <x:v>HU-014</x:v>
      </x:c>
      <x:c r="D44" s="10" t="str">
        <x:v>Diseñar o ajustar interfaz y mensajes para carrito.</x:v>
      </x:c>
      <x:c r="E44" s="10" t="str">
        <x:v>Vicente Palma</x:v>
      </x:c>
      <x:c r="F44" s="10" t="str">
        <x:v>HU-013</x:v>
      </x:c>
      <x:c r="G44" s="10" t="str">
        <x:v>Vista o flujo revisado, campos y mensajes definidos y comportamiento móvil considerado.</x:v>
      </x:c>
      <x:c r="H44" s="11" t="str">
        <x:v>Por verificar</x:v>
      </x:c>
      <x:c r="I44" s="12"/>
      <x:c r="J44" s="12"/>
      <x:c r="K44" s="13"/>
      <x:c r="L44" s="13"/>
      <x:c r="M44" s="11"/>
      <x:c r="N44" s="11"/>
      <x:c r="O44" s="11" t="str">
        <x:v>Pendiente de vincular</x:v>
      </x:c>
    </x:row>
    <x:row r="45" ht="38" customHeight="1">
      <x:c r="A45" s="6" t="str">
        <x:v>SB1-037</x:v>
      </x:c>
      <x:c r="B45" s="6" t="str">
        <x:v>Sprint 1</x:v>
      </x:c>
      <x:c r="C45" s="6" t="str">
        <x:v>HU-014</x:v>
      </x:c>
      <x:c r="D45" s="6" t="str">
        <x:v>Implementar la función para modificar cantidades y revisar totales.</x:v>
      </x:c>
      <x:c r="E45" s="6" t="str">
        <x:v>Alonso Urrutia</x:v>
      </x:c>
      <x:c r="F45" s="6" t="str">
        <x:v>SB1-036</x:v>
      </x:c>
      <x:c r="G45" s="6" t="str">
        <x:v>Cantidades actualizables; subtotales y total correctos; límites validados; interfaz clara.</x:v>
      </x:c>
      <x:c r="H45" s="11" t="str">
        <x:v>Por verificar</x:v>
      </x:c>
      <x:c r="I45" s="12"/>
      <x:c r="J45" s="12"/>
      <x:c r="K45" s="13"/>
      <x:c r="L45" s="13"/>
      <x:c r="M45" s="11"/>
      <x:c r="N45" s="11"/>
      <x:c r="O45" s="11" t="str">
        <x:v>Pendiente de vincular</x:v>
      </x:c>
    </x:row>
    <x:row r="46" ht="49" customHeight="1">
      <x:c r="A46" s="10" t="str">
        <x:v>SB1-038</x:v>
      </x:c>
      <x:c r="B46" s="10" t="str">
        <x:v>Sprint 1</x:v>
      </x:c>
      <x:c r="C46" s="10" t="str">
        <x:v>HU-014</x:v>
      </x:c>
      <x:c r="D46" s="10" t="str">
        <x:v>Verificar criterios de aceptación, permisos y casos negativos de HU-014.</x:v>
      </x:c>
      <x:c r="E46" s="10" t="str">
        <x:v>Franco Miranda</x:v>
      </x:c>
      <x:c r="F46" s="10" t="str">
        <x:v>SB1-037</x:v>
      </x:c>
      <x:c r="G46" s="10" t="str">
        <x:v>Casos ejecutados y evidencia vinculada; defectos clasificados; criterios del PBI verificados: Cantidades actualizables; subtotales y total correctos; límites validados; interfaz clara.</x:v>
      </x:c>
      <x:c r="H46" s="11" t="str">
        <x:v>Por verificar</x:v>
      </x:c>
      <x:c r="I46" s="12"/>
      <x:c r="J46" s="12"/>
      <x:c r="K46" s="13"/>
      <x:c r="L46" s="13"/>
      <x:c r="M46" s="11"/>
      <x:c r="N46" s="11"/>
      <x:c r="O46" s="11" t="str">
        <x:v>Pendiente de vincular</x:v>
      </x:c>
    </x:row>
    <x:row r="47" ht="38" customHeight="1">
      <x:c r="A47" s="6" t="str">
        <x:v>SB1-039</x:v>
      </x:c>
      <x:c r="B47" s="6" t="str">
        <x:v>Sprint 1</x:v>
      </x:c>
      <x:c r="C47" s="6" t="str">
        <x:v>HU-015</x:v>
      </x:c>
      <x:c r="D47" s="6" t="str">
        <x:v>Implementar la función para que el carrito valide el stock disponible.</x:v>
      </x:c>
      <x:c r="E47" s="6" t="str">
        <x:v>Alonso Urrutia</x:v>
      </x:c>
      <x:c r="F47" s="6" t="str">
        <x:v>HU-008, HU-014</x:v>
      </x:c>
      <x:c r="G47" s="6" t="str">
        <x:v>Validación al agregar y actualizar; mensaje de falta de stock; carrito corregible; stock no reservado erróneamente.</x:v>
      </x:c>
      <x:c r="H47" s="11" t="str">
        <x:v>Por verificar</x:v>
      </x:c>
      <x:c r="I47" s="12"/>
      <x:c r="J47" s="12"/>
      <x:c r="K47" s="13"/>
      <x:c r="L47" s="13"/>
      <x:c r="M47" s="11"/>
      <x:c r="N47" s="11"/>
      <x:c r="O47" s="11" t="str">
        <x:v>Pendiente de vincular</x:v>
      </x:c>
    </x:row>
    <x:row r="48" ht="49" customHeight="1">
      <x:c r="A48" s="10" t="str">
        <x:v>SB1-040</x:v>
      </x:c>
      <x:c r="B48" s="10" t="str">
        <x:v>Sprint 1</x:v>
      </x:c>
      <x:c r="C48" s="10" t="str">
        <x:v>HU-015</x:v>
      </x:c>
      <x:c r="D48" s="10" t="str">
        <x:v>Verificar criterios de aceptación, permisos y casos negativos de HU-015.</x:v>
      </x:c>
      <x:c r="E48" s="10" t="str">
        <x:v>Franco Miranda</x:v>
      </x:c>
      <x:c r="F48" s="10" t="str">
        <x:v>SB1-039</x:v>
      </x:c>
      <x:c r="G48" s="10" t="str">
        <x:v>Casos ejecutados y evidencia vinculada; defectos clasificados; criterios del PBI verificados: Validación al agregar y actualizar; mensaje de falta de stock; carrito corregible; stock no reservado erróneamente.</x:v>
      </x:c>
      <x:c r="H48" s="11" t="str">
        <x:v>Por verificar</x:v>
      </x:c>
      <x:c r="I48" s="12"/>
      <x:c r="J48" s="12"/>
      <x:c r="K48" s="13"/>
      <x:c r="L48" s="13"/>
      <x:c r="M48" s="11"/>
      <x:c r="N48" s="11"/>
      <x:c r="O48" s="11" t="str">
        <x:v>Pendiente de vincular</x:v>
      </x:c>
    </x:row>
    <x:row r="49" ht="38" customHeight="1">
      <x:c r="A49" s="6" t="str">
        <x:v>SB1-041</x:v>
      </x:c>
      <x:c r="B49" s="6" t="str">
        <x:v>Sprint 1</x:v>
      </x:c>
      <x:c r="C49" s="6" t="str">
        <x:v>HU-016</x:v>
      </x:c>
      <x:c r="D49" s="6" t="str">
        <x:v>Diseñar o ajustar interfaz y mensajes para ventas.</x:v>
      </x:c>
      <x:c r="E49" s="6" t="str">
        <x:v>Vicente Palma</x:v>
      </x:c>
      <x:c r="F49" s="6" t="str">
        <x:v>HU-014, HU-015</x:v>
      </x:c>
      <x:c r="G49" s="6" t="str">
        <x:v>Vista o flujo revisado, campos y mensajes definidos y comportamiento móvil considerado.</x:v>
      </x:c>
      <x:c r="H49" s="11" t="str">
        <x:v>Por verificar</x:v>
      </x:c>
      <x:c r="I49" s="12"/>
      <x:c r="J49" s="12"/>
      <x:c r="K49" s="13"/>
      <x:c r="L49" s="13"/>
      <x:c r="M49" s="11"/>
      <x:c r="N49" s="11"/>
      <x:c r="O49" s="11" t="str">
        <x:v>Pendiente de vincular</x:v>
      </x:c>
    </x:row>
    <x:row r="50" ht="38" customHeight="1">
      <x:c r="A50" s="10" t="str">
        <x:v>SB1-042</x:v>
      </x:c>
      <x:c r="B50" s="10" t="str">
        <x:v>Sprint 1</x:v>
      </x:c>
      <x:c r="C50" s="10" t="str">
        <x:v>HU-016</x:v>
      </x:c>
      <x:c r="D50" s="10" t="str">
        <x:v>Implementar la función para confirmar el carrito y generar una venta.</x:v>
      </x:c>
      <x:c r="E50" s="10" t="str">
        <x:v>Alonso Urrutia</x:v>
      </x:c>
      <x:c r="F50" s="10" t="str">
        <x:v>SB1-041</x:v>
      </x:c>
      <x:c r="G50" s="10" t="str">
        <x:v>Venta y detalle creados; precios conservados; carrito validado; estado inicial asignado.</x:v>
      </x:c>
      <x:c r="H50" s="11" t="str">
        <x:v>Por verificar</x:v>
      </x:c>
      <x:c r="I50" s="12"/>
      <x:c r="J50" s="12"/>
      <x:c r="K50" s="13"/>
      <x:c r="L50" s="13"/>
      <x:c r="M50" s="11"/>
      <x:c r="N50" s="11"/>
      <x:c r="O50" s="11" t="str">
        <x:v>Pendiente de vincular</x:v>
      </x:c>
    </x:row>
    <x:row r="51" ht="49" customHeight="1">
      <x:c r="A51" s="6" t="str">
        <x:v>SB1-043</x:v>
      </x:c>
      <x:c r="B51" s="6" t="str">
        <x:v>Sprint 1</x:v>
      </x:c>
      <x:c r="C51" s="6" t="str">
        <x:v>HU-016</x:v>
      </x:c>
      <x:c r="D51" s="6" t="str">
        <x:v>Verificar criterios de aceptación, permisos y casos negativos de HU-016.</x:v>
      </x:c>
      <x:c r="E51" s="6" t="str">
        <x:v>Franco Miranda</x:v>
      </x:c>
      <x:c r="F51" s="6" t="str">
        <x:v>SB1-042</x:v>
      </x:c>
      <x:c r="G51" s="6" t="str">
        <x:v>Casos ejecutados y evidencia vinculada; defectos clasificados; criterios del PBI verificados: Venta y detalle creados; precios conservados; carrito validado; estado inicial asignado.</x:v>
      </x:c>
      <x:c r="H51" s="11" t="str">
        <x:v>Por verificar</x:v>
      </x:c>
      <x:c r="I51" s="12"/>
      <x:c r="J51" s="12"/>
      <x:c r="K51" s="13"/>
      <x:c r="L51" s="13"/>
      <x:c r="M51" s="11"/>
      <x:c r="N51" s="11"/>
      <x:c r="O51" s="11" t="str">
        <x:v>Pendiente de vincular</x:v>
      </x:c>
    </x:row>
    <x:row r="52" ht="38" customHeight="1">
      <x:c r="A52" s="10" t="str">
        <x:v>SB1-044</x:v>
      </x:c>
      <x:c r="B52" s="10" t="str">
        <x:v>Sprint 1</x:v>
      </x:c>
      <x:c r="C52" s="10" t="str">
        <x:v>HU-018</x:v>
      </x:c>
      <x:c r="D52" s="10" t="str">
        <x:v>Diseñar o ajustar interfaz y mensajes para ventas.</x:v>
      </x:c>
      <x:c r="E52" s="10" t="str">
        <x:v>Vicente Palma</x:v>
      </x:c>
      <x:c r="F52" s="10" t="str">
        <x:v>HU-016</x:v>
      </x:c>
      <x:c r="G52" s="10" t="str">
        <x:v>Vista o flujo revisado, campos y mensajes definidos y comportamiento móvil considerado.</x:v>
      </x:c>
      <x:c r="H52" s="11" t="str">
        <x:v>Por verificar</x:v>
      </x:c>
      <x:c r="I52" s="12"/>
      <x:c r="J52" s="12"/>
      <x:c r="K52" s="13"/>
      <x:c r="L52" s="13"/>
      <x:c r="M52" s="11"/>
      <x:c r="N52" s="11"/>
      <x:c r="O52" s="11" t="str">
        <x:v>Pendiente de vincular</x:v>
      </x:c>
    </x:row>
    <x:row r="53" ht="38" customHeight="1">
      <x:c r="A53" s="6" t="str">
        <x:v>SB1-045</x:v>
      </x:c>
      <x:c r="B53" s="6" t="str">
        <x:v>Sprint 1</x:v>
      </x:c>
      <x:c r="C53" s="6" t="str">
        <x:v>HU-018</x:v>
      </x:c>
      <x:c r="D53" s="6" t="str">
        <x:v>Implementar la función para consultar su boleta e historial.</x:v>
      </x:c>
      <x:c r="E53" s="6" t="str">
        <x:v>Alonso Urrutia</x:v>
      </x:c>
      <x:c r="F53" s="6" t="str">
        <x:v>SB1-044</x:v>
      </x:c>
      <x:c r="G53" s="6" t="str">
        <x:v>Boleta con detalle y totales; historial por usuario; acceso privado; información consistente.</x:v>
      </x:c>
      <x:c r="H53" s="11" t="str">
        <x:v>Por verificar</x:v>
      </x:c>
      <x:c r="I53" s="12"/>
      <x:c r="J53" s="12"/>
      <x:c r="K53" s="13"/>
      <x:c r="L53" s="13"/>
      <x:c r="M53" s="11"/>
      <x:c r="N53" s="11"/>
      <x:c r="O53" s="11" t="str">
        <x:v>Pendiente de vincular</x:v>
      </x:c>
    </x:row>
    <x:row r="54" ht="49" customHeight="1">
      <x:c r="A54" s="10" t="str">
        <x:v>SB1-046</x:v>
      </x:c>
      <x:c r="B54" s="10" t="str">
        <x:v>Sprint 1</x:v>
      </x:c>
      <x:c r="C54" s="10" t="str">
        <x:v>HU-018</x:v>
      </x:c>
      <x:c r="D54" s="10" t="str">
        <x:v>Verificar criterios de aceptación, permisos y casos negativos de HU-018.</x:v>
      </x:c>
      <x:c r="E54" s="10" t="str">
        <x:v>Franco Miranda</x:v>
      </x:c>
      <x:c r="F54" s="10" t="str">
        <x:v>SB1-045</x:v>
      </x:c>
      <x:c r="G54" s="10" t="str">
        <x:v>Casos ejecutados y evidencia vinculada; defectos clasificados; criterios del PBI verificados: Boleta con detalle y totales; historial por usuario; acceso privado; información consistente.</x:v>
      </x:c>
      <x:c r="H54" s="11" t="str">
        <x:v>Por verificar</x:v>
      </x:c>
      <x:c r="I54" s="12"/>
      <x:c r="J54" s="12"/>
      <x:c r="K54" s="13"/>
      <x:c r="L54" s="13"/>
      <x:c r="M54" s="11"/>
      <x:c r="N54" s="11"/>
      <x:c r="O54" s="11" t="str">
        <x:v>Pendiente de vincular</x:v>
      </x:c>
    </x:row>
    <x:row r="55" ht="38" customHeight="1">
      <x:c r="A55" s="6" t="str">
        <x:v>SB1-047</x:v>
      </x:c>
      <x:c r="B55" s="6" t="str">
        <x:v>Sprint 1</x:v>
      </x:c>
      <x:c r="C55" s="6" t="str">
        <x:v>HU-020</x:v>
      </x:c>
      <x:c r="D55" s="6" t="str">
        <x:v>Diseñar o ajustar interfaz y mensajes para pagos.</x:v>
      </x:c>
      <x:c r="E55" s="6" t="str">
        <x:v>Vicente Palma</x:v>
      </x:c>
      <x:c r="F55" s="6" t="str">
        <x:v>HU-016</x:v>
      </x:c>
      <x:c r="G55" s="6" t="str">
        <x:v>Vista o flujo revisado, campos y mensajes definidos y comportamiento móvil considerado.</x:v>
      </x:c>
      <x:c r="H55" s="11" t="str">
        <x:v>Por verificar</x:v>
      </x:c>
      <x:c r="I55" s="12"/>
      <x:c r="J55" s="12"/>
      <x:c r="K55" s="13"/>
      <x:c r="L55" s="13"/>
      <x:c r="M55" s="11"/>
      <x:c r="N55" s="11"/>
      <x:c r="O55" s="11" t="str">
        <x:v>Pendiente de vincular</x:v>
      </x:c>
    </x:row>
    <x:row r="56" ht="38" customHeight="1">
      <x:c r="A56" s="10" t="str">
        <x:v>SB1-048</x:v>
      </x:c>
      <x:c r="B56" s="10" t="str">
        <x:v>Sprint 1</x:v>
      </x:c>
      <x:c r="C56" s="10" t="str">
        <x:v>HU-020</x:v>
      </x:c>
      <x:c r="D56" s="10" t="str">
        <x:v>Implementar la función para iniciar un pago con Webpay Plus.</x:v>
      </x:c>
      <x:c r="E56" s="10" t="str">
        <x:v>Alonso Urrutia</x:v>
      </x:c>
      <x:c r="F56" s="10" t="str">
        <x:v>SB1-047</x:v>
      </x:c>
      <x:c r="G56" s="10" t="str">
        <x:v>Transacción creada con monto correcto; redirección válida; venta vinculada; errores controlados.</x:v>
      </x:c>
      <x:c r="H56" s="11" t="str">
        <x:v>Por verificar</x:v>
      </x:c>
      <x:c r="I56" s="12"/>
      <x:c r="J56" s="12"/>
      <x:c r="K56" s="13"/>
      <x:c r="L56" s="13"/>
      <x:c r="M56" s="11"/>
      <x:c r="N56" s="11"/>
      <x:c r="O56" s="11" t="str">
        <x:v>Pendiente de vincular</x:v>
      </x:c>
    </x:row>
    <x:row r="57" ht="49" customHeight="1">
      <x:c r="A57" s="6" t="str">
        <x:v>SB1-049</x:v>
      </x:c>
      <x:c r="B57" s="6" t="str">
        <x:v>Sprint 1</x:v>
      </x:c>
      <x:c r="C57" s="6" t="str">
        <x:v>HU-020</x:v>
      </x:c>
      <x:c r="D57" s="6" t="str">
        <x:v>Verificar criterios de aceptación, permisos y casos negativos de HU-020.</x:v>
      </x:c>
      <x:c r="E57" s="6" t="str">
        <x:v>Franco Miranda</x:v>
      </x:c>
      <x:c r="F57" s="6" t="str">
        <x:v>SB1-048</x:v>
      </x:c>
      <x:c r="G57" s="6" t="str">
        <x:v>Casos ejecutados y evidencia vinculada; defectos clasificados; criterios del PBI verificados: Transacción creada con monto correcto; redirección válida; venta vinculada; errores controlados.</x:v>
      </x:c>
      <x:c r="H57" s="11" t="str">
        <x:v>Por verificar</x:v>
      </x:c>
      <x:c r="I57" s="12"/>
      <x:c r="J57" s="12"/>
      <x:c r="K57" s="13"/>
      <x:c r="L57" s="13"/>
      <x:c r="M57" s="11"/>
      <x:c r="N57" s="11"/>
      <x:c r="O57" s="11" t="str">
        <x:v>Pendiente de vincular</x:v>
      </x:c>
    </x:row>
    <x:row r="58" ht="38" customHeight="1">
      <x:c r="A58" s="10" t="str">
        <x:v>SB1-050</x:v>
      </x:c>
      <x:c r="B58" s="10" t="str">
        <x:v>Sprint 1</x:v>
      </x:c>
      <x:c r="C58" s="10" t="str">
        <x:v>HU-021</x:v>
      </x:c>
      <x:c r="D58" s="10" t="str">
        <x:v>Diseñar o ajustar interfaz y mensajes para pagos.</x:v>
      </x:c>
      <x:c r="E58" s="10" t="str">
        <x:v>Vicente Palma</x:v>
      </x:c>
      <x:c r="F58" s="10" t="str">
        <x:v>HU-020</x:v>
      </x:c>
      <x:c r="G58" s="10" t="str">
        <x:v>Vista o flujo revisado, campos y mensajes definidos y comportamiento móvil considerado.</x:v>
      </x:c>
      <x:c r="H58" s="11" t="str">
        <x:v>Por verificar</x:v>
      </x:c>
      <x:c r="I58" s="12"/>
      <x:c r="J58" s="12"/>
      <x:c r="K58" s="13"/>
      <x:c r="L58" s="13"/>
      <x:c r="M58" s="11"/>
      <x:c r="N58" s="11"/>
      <x:c r="O58" s="11" t="str">
        <x:v>Pendiente de vincular</x:v>
      </x:c>
    </x:row>
    <x:row r="59" ht="38" customHeight="1">
      <x:c r="A59" s="6" t="str">
        <x:v>SB1-051</x:v>
      </x:c>
      <x:c r="B59" s="6" t="str">
        <x:v>Sprint 1</x:v>
      </x:c>
      <x:c r="C59" s="6" t="str">
        <x:v>HU-021</x:v>
      </x:c>
      <x:c r="D59" s="6" t="str">
        <x:v>Implementar la función para conocer el resultado del pago.</x:v>
      </x:c>
      <x:c r="E59" s="6" t="str">
        <x:v>Alonso Urrutia</x:v>
      </x:c>
      <x:c r="F59" s="6" t="str">
        <x:v>SB1-050</x:v>
      </x:c>
      <x:c r="G59" s="6" t="str">
        <x:v>Retorno validado; estados actualizados; pantallas claras; reintentos y duplicidad controlados.</x:v>
      </x:c>
      <x:c r="H59" s="11" t="str">
        <x:v>Por verificar</x:v>
      </x:c>
      <x:c r="I59" s="12"/>
      <x:c r="J59" s="12"/>
      <x:c r="K59" s="13"/>
      <x:c r="L59" s="13"/>
      <x:c r="M59" s="11"/>
      <x:c r="N59" s="11"/>
      <x:c r="O59" s="11" t="str">
        <x:v>Pendiente de vincular</x:v>
      </x:c>
    </x:row>
    <x:row r="60" ht="49" customHeight="1">
      <x:c r="A60" s="10" t="str">
        <x:v>SB1-052</x:v>
      </x:c>
      <x:c r="B60" s="10" t="str">
        <x:v>Sprint 1</x:v>
      </x:c>
      <x:c r="C60" s="10" t="str">
        <x:v>HU-021</x:v>
      </x:c>
      <x:c r="D60" s="10" t="str">
        <x:v>Verificar criterios de aceptación, permisos y casos negativos de HU-021.</x:v>
      </x:c>
      <x:c r="E60" s="10" t="str">
        <x:v>Franco Miranda</x:v>
      </x:c>
      <x:c r="F60" s="10" t="str">
        <x:v>SB1-051</x:v>
      </x:c>
      <x:c r="G60" s="10" t="str">
        <x:v>Casos ejecutados y evidencia vinculada; defectos clasificados; criterios del PBI verificados: Retorno validado; estados actualizados; pantallas claras; reintentos y duplicidad controlados.</x:v>
      </x:c>
      <x:c r="H60" s="11" t="str">
        <x:v>Por verificar</x:v>
      </x:c>
      <x:c r="I60" s="12"/>
      <x:c r="J60" s="12"/>
      <x:c r="K60" s="13"/>
      <x:c r="L60" s="13"/>
      <x:c r="M60" s="11"/>
      <x:c r="N60" s="11"/>
      <x:c r="O60" s="11" t="str">
        <x:v>Pendiente de vincular</x:v>
      </x:c>
    </x:row>
    <x:row r="61" ht="38" customHeight="1">
      <x:c r="A61" s="6" t="str">
        <x:v>SB1-053</x:v>
      </x:c>
      <x:c r="B61" s="6" t="str">
        <x:v>Sprint 1</x:v>
      </x:c>
      <x:c r="C61" s="6" t="str">
        <x:v>HU-022</x:v>
      </x:c>
      <x:c r="D61" s="6" t="str">
        <x:v>Implementar la función para validar las respuestas de Webpay.</x:v>
      </x:c>
      <x:c r="E61" s="6" t="str">
        <x:v>Alonso Urrutia</x:v>
      </x:c>
      <x:c r="F61" s="6" t="str">
        <x:v>HU-020</x:v>
      </x:c>
      <x:c r="G61" s="6" t="str">
        <x:v>Tokens y montos verificados; datos sensibles no almacenados; respuestas inválidas rechazadas; pruebas aprobadas.</x:v>
      </x:c>
      <x:c r="H61" s="11" t="str">
        <x:v>Por verificar</x:v>
      </x:c>
      <x:c r="I61" s="12"/>
      <x:c r="J61" s="12"/>
      <x:c r="K61" s="13"/>
      <x:c r="L61" s="13"/>
      <x:c r="M61" s="11"/>
      <x:c r="N61" s="11"/>
      <x:c r="O61" s="11" t="str">
        <x:v>Pendiente de vincular</x:v>
      </x:c>
    </x:row>
    <x:row r="62" ht="49" customHeight="1">
      <x:c r="A62" s="10" t="str">
        <x:v>SB1-054</x:v>
      </x:c>
      <x:c r="B62" s="10" t="str">
        <x:v>Sprint 1</x:v>
      </x:c>
      <x:c r="C62" s="10" t="str">
        <x:v>HU-022</x:v>
      </x:c>
      <x:c r="D62" s="10" t="str">
        <x:v>Verificar criterios de aceptación, permisos y casos negativos de HU-022.</x:v>
      </x:c>
      <x:c r="E62" s="10" t="str">
        <x:v>Franco Miranda</x:v>
      </x:c>
      <x:c r="F62" s="10" t="str">
        <x:v>SB1-053</x:v>
      </x:c>
      <x:c r="G62" s="10" t="str">
        <x:v>Casos ejecutados y evidencia vinculada; defectos clasificados; criterios del PBI verificados: Tokens y montos verificados; datos sensibles no almacenados; respuestas inválidas rechazadas; pruebas aprobadas.</x:v>
      </x:c>
      <x:c r="H62" s="11" t="str">
        <x:v>Por verificar</x:v>
      </x:c>
      <x:c r="I62" s="12"/>
      <x:c r="J62" s="12"/>
      <x:c r="K62" s="13"/>
      <x:c r="L62" s="13"/>
      <x:c r="M62" s="11"/>
      <x:c r="N62" s="11"/>
      <x:c r="O62" s="11" t="str">
        <x:v>Pendiente de vincular</x:v>
      </x:c>
    </x:row>
    <x:row r="63" ht="38" customHeight="1">
      <x:c r="A63" s="6" t="str">
        <x:v>SB1-055</x:v>
      </x:c>
      <x:c r="B63" s="6" t="str">
        <x:v>Sprint 1</x:v>
      </x:c>
      <x:c r="C63" s="6" t="str">
        <x:v>HU-023</x:v>
      </x:c>
      <x:c r="D63" s="6" t="str">
        <x:v>Diseñar o ajustar interfaz y mensajes para experiencia transversal.</x:v>
      </x:c>
      <x:c r="E63" s="6" t="str">
        <x:v>Vicente Palma</x:v>
      </x:c>
      <x:c r="F63" s="6" t="str">
        <x:v>HU-001</x:v>
      </x:c>
      <x:c r="G63" s="6" t="str">
        <x:v>Vista o flujo revisado, campos y mensajes definidos y comportamiento móvil considerado.</x:v>
      </x:c>
      <x:c r="H63" s="11" t="str">
        <x:v>Por verificar</x:v>
      </x:c>
      <x:c r="I63" s="12"/>
      <x:c r="J63" s="12"/>
      <x:c r="K63" s="13"/>
      <x:c r="L63" s="13"/>
      <x:c r="M63" s="11"/>
      <x:c r="N63" s="11"/>
      <x:c r="O63" s="11" t="str">
        <x:v>Pendiente de vincular</x:v>
      </x:c>
    </x:row>
    <x:row r="64" ht="38" customHeight="1">
      <x:c r="A64" s="10" t="str">
        <x:v>SB1-056</x:v>
      </x:c>
      <x:c r="B64" s="10" t="str">
        <x:v>Sprint 1</x:v>
      </x:c>
      <x:c r="C64" s="10" t="str">
        <x:v>HU-023</x:v>
      </x:c>
      <x:c r="D64" s="10" t="str">
        <x:v>Implementar la función para una identidad visual SFI consistente.</x:v>
      </x:c>
      <x:c r="E64" s="10" t="str">
        <x:v>Alonso Urrutia</x:v>
      </x:c>
      <x:c r="F64" s="10" t="str">
        <x:v>SB1-055</x:v>
      </x:c>
      <x:c r="G64" s="10" t="str">
        <x:v>Colores y componentes unificados; encabezado y pie comunes; mensajes consistentes; pantallas principales actualizadas.</x:v>
      </x:c>
      <x:c r="H64" s="11" t="str">
        <x:v>Por verificar</x:v>
      </x:c>
      <x:c r="I64" s="12"/>
      <x:c r="J64" s="12"/>
      <x:c r="K64" s="13"/>
      <x:c r="L64" s="13"/>
      <x:c r="M64" s="11"/>
      <x:c r="N64" s="11"/>
      <x:c r="O64" s="11" t="str">
        <x:v>Pendiente de vincular</x:v>
      </x:c>
    </x:row>
    <x:row r="65" ht="49" customHeight="1">
      <x:c r="A65" s="6" t="str">
        <x:v>SB1-057</x:v>
      </x:c>
      <x:c r="B65" s="6" t="str">
        <x:v>Sprint 1</x:v>
      </x:c>
      <x:c r="C65" s="6" t="str">
        <x:v>HU-023</x:v>
      </x:c>
      <x:c r="D65" s="6" t="str">
        <x:v>Verificar criterios de aceptación, permisos y casos negativos de HU-023.</x:v>
      </x:c>
      <x:c r="E65" s="6" t="str">
        <x:v>Franco Miranda</x:v>
      </x:c>
      <x:c r="F65" s="6" t="str">
        <x:v>SB1-056</x:v>
      </x:c>
      <x:c r="G65" s="6" t="str">
        <x:v>Casos ejecutados y evidencia vinculada; defectos clasificados; criterios del PBI verificados: Colores y componentes unificados; encabezado y pie comunes; mensajes consistentes; pantallas principales actualizadas.</x:v>
      </x:c>
      <x:c r="H65" s="11" t="str">
        <x:v>Por verificar</x:v>
      </x:c>
      <x:c r="I65" s="12"/>
      <x:c r="J65" s="12"/>
      <x:c r="K65" s="13"/>
      <x:c r="L65" s="13"/>
      <x:c r="M65" s="11"/>
      <x:c r="N65" s="11"/>
      <x:c r="O65" s="11" t="str">
        <x:v>Pendiente de vincular</x:v>
      </x:c>
    </x:row>
    <x:row r="66" ht="38" customHeight="1">
      <x:c r="A66" s="10" t="str">
        <x:v>SB1-058</x:v>
      </x:c>
      <x:c r="B66" s="10" t="str">
        <x:v>Sprint 1</x:v>
      </x:c>
      <x:c r="C66" s="10" t="str">
        <x:v>HU-024</x:v>
      </x:c>
      <x:c r="D66" s="10" t="str">
        <x:v>Diseñar o ajustar interfaz y mensajes para experiencia transversal.</x:v>
      </x:c>
      <x:c r="E66" s="10" t="str">
        <x:v>Vicente Palma</x:v>
      </x:c>
      <x:c r="F66" s="10" t="str">
        <x:v>HU-023</x:v>
      </x:c>
      <x:c r="G66" s="10" t="str">
        <x:v>Vista o flujo revisado, campos y mensajes definidos y comportamiento móvil considerado.</x:v>
      </x:c>
      <x:c r="H66" s="11" t="str">
        <x:v>Por verificar</x:v>
      </x:c>
      <x:c r="I66" s="12"/>
      <x:c r="J66" s="12"/>
      <x:c r="K66" s="13"/>
      <x:c r="L66" s="13"/>
      <x:c r="M66" s="11"/>
      <x:c r="N66" s="11"/>
      <x:c r="O66" s="11" t="str">
        <x:v>Pendiente de vincular</x:v>
      </x:c>
    </x:row>
    <x:row r="67" ht="38" customHeight="1">
      <x:c r="A67" s="6" t="str">
        <x:v>SB1-059</x:v>
      </x:c>
      <x:c r="B67" s="6" t="str">
        <x:v>Sprint 1</x:v>
      </x:c>
      <x:c r="C67" s="6" t="str">
        <x:v>HU-024</x:v>
      </x:c>
      <x:c r="D67" s="6" t="str">
        <x:v>Implementar la función para que las funciones principales sean adaptables.</x:v>
      </x:c>
      <x:c r="E67" s="6" t="str">
        <x:v>Alonso Urrutia</x:v>
      </x:c>
      <x:c r="F67" s="6" t="str">
        <x:v>SB1-058</x:v>
      </x:c>
      <x:c r="G67" s="6" t="str">
        <x:v>Catálogo, carrito, cuenta y ventas responsive; navegación utilizable; sin elementos superpuestos.</x:v>
      </x:c>
      <x:c r="H67" s="11" t="str">
        <x:v>Por verificar</x:v>
      </x:c>
      <x:c r="I67" s="12"/>
      <x:c r="J67" s="12"/>
      <x:c r="K67" s="13"/>
      <x:c r="L67" s="13"/>
      <x:c r="M67" s="11"/>
      <x:c r="N67" s="11"/>
      <x:c r="O67" s="11" t="str">
        <x:v>Pendiente de vincular</x:v>
      </x:c>
    </x:row>
    <x:row r="68" ht="49" customHeight="1">
      <x:c r="A68" s="10" t="str">
        <x:v>SB1-060</x:v>
      </x:c>
      <x:c r="B68" s="10" t="str">
        <x:v>Sprint 1</x:v>
      </x:c>
      <x:c r="C68" s="10" t="str">
        <x:v>HU-024</x:v>
      </x:c>
      <x:c r="D68" s="10" t="str">
        <x:v>Verificar criterios de aceptación, permisos y casos negativos de HU-024.</x:v>
      </x:c>
      <x:c r="E68" s="10" t="str">
        <x:v>Franco Miranda</x:v>
      </x:c>
      <x:c r="F68" s="10" t="str">
        <x:v>SB1-059</x:v>
      </x:c>
      <x:c r="G68" s="10" t="str">
        <x:v>Casos ejecutados y evidencia vinculada; defectos clasificados; criterios del PBI verificados: Catálogo, carrito, cuenta y ventas responsive; navegación utilizable; sin elementos superpuestos.</x:v>
      </x:c>
      <x:c r="H68" s="11" t="str">
        <x:v>Por verificar</x:v>
      </x:c>
      <x:c r="I68" s="12"/>
      <x:c r="J68" s="12"/>
      <x:c r="K68" s="13"/>
      <x:c r="L68" s="13"/>
      <x:c r="M68" s="11"/>
      <x:c r="N68" s="11"/>
      <x:c r="O68" s="11" t="str">
        <x:v>Pendiente de vincular</x:v>
      </x:c>
    </x:row>
    <x:row r="69" ht="38" customHeight="1">
      <x:c r="A69" s="6" t="str">
        <x:v>SB1-061</x:v>
      </x:c>
      <x:c r="B69" s="6" t="str">
        <x:v>Sprint 1</x:v>
      </x:c>
      <x:c r="C69" s="6" t="str">
        <x:v>HU-025</x:v>
      </x:c>
      <x:c r="D69" s="6" t="str">
        <x:v>Diseñar o ajustar interfaz y mensajes para administración.</x:v>
      </x:c>
      <x:c r="E69" s="6" t="str">
        <x:v>Vicente Palma</x:v>
      </x:c>
      <x:c r="F69" s="6" t="str">
        <x:v>HU-004, HU-023</x:v>
      </x:c>
      <x:c r="G69" s="6" t="str">
        <x:v>Vista o flujo revisado, campos y mensajes definidos y comportamiento móvil considerado.</x:v>
      </x:c>
      <x:c r="H69" s="11" t="str">
        <x:v>Por verificar</x:v>
      </x:c>
      <x:c r="I69" s="12"/>
      <x:c r="J69" s="12"/>
      <x:c r="K69" s="13"/>
      <x:c r="L69" s="13"/>
      <x:c r="M69" s="11"/>
      <x:c r="N69" s="11"/>
      <x:c r="O69" s="11" t="str">
        <x:v>Pendiente de vincular</x:v>
      </x:c>
    </x:row>
    <x:row r="70" ht="38" customHeight="1">
      <x:c r="A70" s="10" t="str">
        <x:v>SB1-062</x:v>
      </x:c>
      <x:c r="B70" s="10" t="str">
        <x:v>Sprint 1</x:v>
      </x:c>
      <x:c r="C70" s="10" t="str">
        <x:v>HU-025</x:v>
      </x:c>
      <x:c r="D70" s="10" t="str">
        <x:v>Implementar la función para formularios y paneles claros.</x:v>
      </x:c>
      <x:c r="E70" s="10" t="str">
        <x:v>Alonso Urrutia</x:v>
      </x:c>
      <x:c r="F70" s="10" t="str">
        <x:v>SB1-061</x:v>
      </x:c>
      <x:c r="G70" s="10" t="str">
        <x:v>Formularios ordenados; validaciones visibles; navegación administrativa consistente; recorridos probados.</x:v>
      </x:c>
      <x:c r="H70" s="11" t="str">
        <x:v>Por verificar</x:v>
      </x:c>
      <x:c r="I70" s="12"/>
      <x:c r="J70" s="12"/>
      <x:c r="K70" s="13"/>
      <x:c r="L70" s="13"/>
      <x:c r="M70" s="11"/>
      <x:c r="N70" s="11"/>
      <x:c r="O70" s="11" t="str">
        <x:v>Pendiente de vincular</x:v>
      </x:c>
    </x:row>
    <x:row r="71" ht="49" customHeight="1">
      <x:c r="A71" s="6" t="str">
        <x:v>SB1-063</x:v>
      </x:c>
      <x:c r="B71" s="6" t="str">
        <x:v>Sprint 1</x:v>
      </x:c>
      <x:c r="C71" s="6" t="str">
        <x:v>HU-025</x:v>
      </x:c>
      <x:c r="D71" s="6" t="str">
        <x:v>Verificar criterios de aceptación, permisos y casos negativos de HU-025.</x:v>
      </x:c>
      <x:c r="E71" s="6" t="str">
        <x:v>Franco Miranda</x:v>
      </x:c>
      <x:c r="F71" s="6" t="str">
        <x:v>SB1-062</x:v>
      </x:c>
      <x:c r="G71" s="6" t="str">
        <x:v>Casos ejecutados y evidencia vinculada; defectos clasificados; criterios del PBI verificados: Formularios ordenados; validaciones visibles; navegación administrativa consistente; recorridos probados.</x:v>
      </x:c>
      <x:c r="H71" s="11" t="str">
        <x:v>Por verificar</x:v>
      </x:c>
      <x:c r="I71" s="12"/>
      <x:c r="J71" s="12"/>
      <x:c r="K71" s="13"/>
      <x:c r="L71" s="13"/>
      <x:c r="M71" s="11"/>
      <x:c r="N71" s="11"/>
      <x:c r="O71" s="11" t="str">
        <x:v>Pendiente de vincular</x:v>
      </x:c>
    </x:row>
  </x:sheetData>
  <x:conditionalFormatting sqref="H9:H71">
    <x:cfRule type="containsText" dxfId="0" priority="1" operator="containsText" text="Terminado"/>
    <x:cfRule type="containsText" dxfId="1" priority="2" operator="containsText" text="Bloqueado"/>
  </x:conditionalFormatting>
  <x:dataValidations count="2">
    <x:dataValidation type="list" sqref="H9:H71">
      <x:formula1>"Por verificar,Pendiente,En progreso,Bloqueado,En revisión,Terminado"</x:formula1>
    </x:dataValidation>
    <x:dataValidation type="list" sqref="M9:M71">
      <x:formula1>"Sí,No,Parcial"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47d03761c24016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15" hidden="0" customWidth="1"/>
    <x:col min="2" max="2" width="18" hidden="0" customWidth="1"/>
    <x:col min="3" max="3" width="21" hidden="0" customWidth="1"/>
    <x:col min="4" max="4" width="65" hidden="0" customWidth="1"/>
    <x:col min="5" max="5" width="34" hidden="0" customWidth="1"/>
    <x:col min="6" max="6" width="28" hidden="0" customWidth="1"/>
    <x:col min="7" max="7" width="75" hidden="0" customWidth="1"/>
    <x:col min="8" max="8" width="23" hidden="0" customWidth="1"/>
    <x:col min="9" max="9" width="18" hidden="0" customWidth="1"/>
    <x:col min="10" max="10" width="18" hidden="0" customWidth="1"/>
    <x:col min="11" max="11" width="19" hidden="0" customWidth="1"/>
    <x:col min="12" max="12" width="19" hidden="0" customWidth="1"/>
    <x:col min="13" max="13" width="18" hidden="0" customWidth="1"/>
    <x:col min="14" max="14" width="42" hidden="0" customWidth="1"/>
    <x:col min="15" max="15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3" t="str">
        <x:v>Sprint Backlog SFI  •  Sprint 2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Versión 2.0</x:v>
      </x:c>
      <x:c r="B3" s="2"/>
      <x:c r="C3" s="2"/>
      <x:c r="D3" s="4" t="d">
        <x:v>2026-10-03T12:00:00.000Z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 t="str">
        <x:v>Total tareas</x:v>
      </x:c>
      <x:c r="B5" s="2" t="n">
        <x:f>COUNTA(A9:A83)</x:f>
        <x:v>75</x:v>
      </x:c>
      <x:c r="C5" s="2" t="str">
        <x:v>Terminadas con DoD</x:v>
      </x:c>
      <x:c r="D5" s="2" t="n">
        <x:f>COUNTIFS(H9:H83,"Terminado",M9:M83,"Sí")</x:f>
        <x:v>0</x:v>
      </x:c>
      <x:c r="E5" s="2" t="str">
        <x:v>Bloqueadas</x:v>
      </x:c>
      <x:c r="F5" s="2" t="n">
        <x:f>COUNTIF(H9:H83,"Bloqueado")</x:f>
        <x:v>0</x:v>
      </x:c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5" t="str">
        <x:v>Objetivo: IA, inventario y Kardex, maestros, créditos, visibilidad y despachos.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5" t="str">
        <x:v>Weekly los jueves. Actualizar horas, fechas, bloqueos y evidencia; las tareas nuevas requieren estimación.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36" customHeight="1">
      <x:c r="A8" s="9" t="str">
        <x:v>ID tarea</x:v>
      </x:c>
      <x:c r="B8" s="9" t="str">
        <x:v>Sprint</x:v>
      </x:c>
      <x:c r="C8" s="9" t="str">
        <x:v>PBI relacionado</x:v>
      </x:c>
      <x:c r="D8" s="9" t="str">
        <x:v>Tarea</x:v>
      </x:c>
      <x:c r="E8" s="9" t="str">
        <x:v>Responsable</x:v>
      </x:c>
      <x:c r="F8" s="9" t="str">
        <x:v>Dependencias</x:v>
      </x:c>
      <x:c r="G8" s="9" t="str">
        <x:v>Salida verificable</x:v>
      </x:c>
      <x:c r="H8" s="9" t="str">
        <x:v>Estado</x:v>
      </x:c>
      <x:c r="I8" s="9" t="str">
        <x:v>Estimación horas</x:v>
      </x:c>
      <x:c r="J8" s="9" t="str">
        <x:v>Horas restantes</x:v>
      </x:c>
      <x:c r="K8" s="9" t="str">
        <x:v>Fecha objetivo</x:v>
      </x:c>
      <x:c r="L8" s="9" t="str">
        <x:v>Fecha cierre</x:v>
      </x:c>
      <x:c r="M8" s="9" t="str">
        <x:v>Cumple DoD</x:v>
      </x:c>
      <x:c r="N8" s="9" t="str">
        <x:v>Bloqueo y acción</x:v>
      </x:c>
      <x:c r="O8" s="9" t="str">
        <x:v>Evidencia</x:v>
      </x:c>
    </x:row>
    <x:row r="9" ht="38" customHeight="1">
      <x:c r="A9" s="6" t="str">
        <x:v>SB2-001</x:v>
      </x:c>
      <x:c r="B9" s="6" t="str">
        <x:v>Sprint 2</x:v>
      </x:c>
      <x:c r="C9" s="6" t="str">
        <x:v>HU-046</x:v>
      </x:c>
      <x:c r="D9" s="6" t="str">
        <x:v>Diseñar o ajustar interfaz y mensajes para kardex.</x:v>
      </x:c>
      <x:c r="E9" s="6" t="str">
        <x:v>Vicente Palma</x:v>
      </x:c>
      <x:c r="F9" s="6" t="str">
        <x:v>HU-008, HU-010</x:v>
      </x:c>
      <x:c r="G9" s="6" t="str">
        <x:v>Vista o flujo revisado, campos y mensajes definidos y comportamiento móvil considerado.</x:v>
      </x:c>
      <x:c r="H9" s="11" t="str">
        <x:v>Por verificar</x:v>
      </x:c>
      <x:c r="I9" s="12"/>
      <x:c r="J9" s="12"/>
      <x:c r="K9" s="13"/>
      <x:c r="L9" s="13"/>
      <x:c r="M9" s="11"/>
      <x:c r="N9" s="11"/>
      <x:c r="O9" s="11" t="str">
        <x:v>Pendiente de vincular</x:v>
      </x:c>
    </x:row>
    <x:row r="10" ht="38" customHeight="1">
      <x:c r="A10" s="10" t="str">
        <x:v>SB2-002</x:v>
      </x:c>
      <x:c r="B10" s="10" t="str">
        <x:v>Sprint 2</x:v>
      </x:c>
      <x:c r="C10" s="10" t="str">
        <x:v>HU-046</x:v>
      </x:c>
      <x:c r="D10" s="10" t="str">
        <x:v>Implementar la función para consultar entradas, salidas y ajustes por producto.</x:v>
      </x:c>
      <x:c r="E10" s="10" t="str">
        <x:v>Alonso Urrutia</x:v>
      </x:c>
      <x:c r="F10" s="10" t="str">
        <x:v>SB2-001</x:v>
      </x:c>
      <x:c r="G10" s="10" t="str">
        <x:v>Cada movimiento registra producto, tipo, cantidad, fecha, usuario y referencia; saldo conciliable; correcciones mediante movimiento de ajuste.</x:v>
      </x:c>
      <x:c r="H10" s="11" t="str">
        <x:v>Por verificar</x:v>
      </x:c>
      <x:c r="I10" s="12"/>
      <x:c r="J10" s="12"/>
      <x:c r="K10" s="13"/>
      <x:c r="L10" s="13"/>
      <x:c r="M10" s="11"/>
      <x:c r="N10" s="11"/>
      <x:c r="O10" s="11" t="str">
        <x:v>Pendiente de vincular</x:v>
      </x:c>
    </x:row>
    <x:row r="11" ht="62" customHeight="1">
      <x:c r="A11" s="6" t="str">
        <x:v>SB2-003</x:v>
      </x:c>
      <x:c r="B11" s="6" t="str">
        <x:v>Sprint 2</x:v>
      </x:c>
      <x:c r="C11" s="6" t="str">
        <x:v>HU-046</x:v>
      </x:c>
      <x:c r="D11" s="6" t="str">
        <x:v>Verificar criterios de aceptación, permisos y casos negativos de HU-046.</x:v>
      </x:c>
      <x:c r="E11" s="6" t="str">
        <x:v>Franco Miranda</x:v>
      </x:c>
      <x:c r="F11" s="6" t="str">
        <x:v>SB2-002</x:v>
      </x:c>
      <x:c r="G11" s="6" t="str">
        <x:v>Casos ejecutados y evidencia vinculada; defectos clasificados; criterios del PBI verificados: Cada movimiento registra producto, tipo, cantidad, fecha, usuario y referencia; saldo conciliable; correcciones mediante movimiento de ajuste.</x:v>
      </x:c>
      <x:c r="H11" s="11" t="str">
        <x:v>Por verificar</x:v>
      </x:c>
      <x:c r="I11" s="12"/>
      <x:c r="J11" s="12"/>
      <x:c r="K11" s="13"/>
      <x:c r="L11" s="13"/>
      <x:c r="M11" s="11"/>
      <x:c r="N11" s="11"/>
      <x:c r="O11" s="11" t="str">
        <x:v>Pendiente de vincular</x:v>
      </x:c>
    </x:row>
    <x:row r="12" ht="38" customHeight="1">
      <x:c r="A12" s="10" t="str">
        <x:v>SB2-004</x:v>
      </x:c>
      <x:c r="B12" s="10" t="str">
        <x:v>Sprint 2</x:v>
      </x:c>
      <x:c r="C12" s="10" t="str">
        <x:v>HU-010</x:v>
      </x:c>
      <x:c r="D12" s="10" t="str">
        <x:v>Implementar la función para controlar las existencias.</x:v>
      </x:c>
      <x:c r="E12" s="10" t="str">
        <x:v>Alonso Urrutia</x:v>
      </x:c>
      <x:c r="F12" s="10" t="str">
        <x:v>HU-008</x:v>
      </x:c>
      <x:c r="G12" s="10" t="str">
        <x:v>Stock consultable y editable; movimientos registrados; valores negativos bloqueados; alertas por stock bajo.</x:v>
      </x:c>
      <x:c r="H12" s="11" t="str">
        <x:v>Por verificar</x:v>
      </x:c>
      <x:c r="I12" s="12"/>
      <x:c r="J12" s="12"/>
      <x:c r="K12" s="13"/>
      <x:c r="L12" s="13"/>
      <x:c r="M12" s="11"/>
      <x:c r="N12" s="11"/>
      <x:c r="O12" s="11" t="str">
        <x:v>Pendiente de vincular</x:v>
      </x:c>
    </x:row>
    <x:row r="13" ht="49" customHeight="1">
      <x:c r="A13" s="6" t="str">
        <x:v>SB2-005</x:v>
      </x:c>
      <x:c r="B13" s="6" t="str">
        <x:v>Sprint 2</x:v>
      </x:c>
      <x:c r="C13" s="6" t="str">
        <x:v>HU-010</x:v>
      </x:c>
      <x:c r="D13" s="6" t="str">
        <x:v>Verificar criterios de aceptación, permisos y casos negativos de HU-010.</x:v>
      </x:c>
      <x:c r="E13" s="6" t="str">
        <x:v>Franco Miranda</x:v>
      </x:c>
      <x:c r="F13" s="6" t="str">
        <x:v>SB2-004</x:v>
      </x:c>
      <x:c r="G13" s="6" t="str">
        <x:v>Casos ejecutados y evidencia vinculada; defectos clasificados; criterios del PBI verificados: Stock consultable y editable; movimientos registrados; valores negativos bloqueados; alertas por stock bajo.</x:v>
      </x:c>
      <x:c r="H13" s="11" t="str">
        <x:v>Por verificar</x:v>
      </x:c>
      <x:c r="I13" s="12"/>
      <x:c r="J13" s="12"/>
      <x:c r="K13" s="13"/>
      <x:c r="L13" s="13"/>
      <x:c r="M13" s="11"/>
      <x:c r="N13" s="11"/>
      <x:c r="O13" s="11" t="str">
        <x:v>Pendiente de vincular</x:v>
      </x:c>
    </x:row>
    <x:row r="14" ht="38" customHeight="1">
      <x:c r="A14" s="10" t="str">
        <x:v>SB2-006</x:v>
      </x:c>
      <x:c r="B14" s="10" t="str">
        <x:v>Sprint 2</x:v>
      </x:c>
      <x:c r="C14" s="10" t="str">
        <x:v>HU-011</x:v>
      </x:c>
      <x:c r="D14" s="10" t="str">
        <x:v>Implementar la función para registrar proveedores e historial de precios.</x:v>
      </x:c>
      <x:c r="E14" s="10" t="str">
        <x:v>Alonso Urrutia</x:v>
      </x:c>
      <x:c r="F14" s="10" t="str">
        <x:v>HU-008</x:v>
      </x:c>
      <x:c r="G14" s="10" t="str">
        <x:v>Proveedores administrables; productos asociados; historial de precios; datos de contacto validados.</x:v>
      </x:c>
      <x:c r="H14" s="11" t="str">
        <x:v>Por verificar</x:v>
      </x:c>
      <x:c r="I14" s="12"/>
      <x:c r="J14" s="12"/>
      <x:c r="K14" s="13"/>
      <x:c r="L14" s="13"/>
      <x:c r="M14" s="11"/>
      <x:c r="N14" s="11"/>
      <x:c r="O14" s="11" t="str">
        <x:v>Pendiente de vincular</x:v>
      </x:c>
    </x:row>
    <x:row r="15" ht="49" customHeight="1">
      <x:c r="A15" s="6" t="str">
        <x:v>SB2-007</x:v>
      </x:c>
      <x:c r="B15" s="6" t="str">
        <x:v>Sprint 2</x:v>
      </x:c>
      <x:c r="C15" s="6" t="str">
        <x:v>HU-011</x:v>
      </x:c>
      <x:c r="D15" s="6" t="str">
        <x:v>Verificar criterios de aceptación, permisos y casos negativos de HU-011.</x:v>
      </x:c>
      <x:c r="E15" s="6" t="str">
        <x:v>Franco Miranda</x:v>
      </x:c>
      <x:c r="F15" s="6" t="str">
        <x:v>SB2-006</x:v>
      </x:c>
      <x:c r="G15" s="6" t="str">
        <x:v>Casos ejecutados y evidencia vinculada; defectos clasificados; criterios del PBI verificados: Proveedores administrables; productos asociados; historial de precios; datos de contacto validados.</x:v>
      </x:c>
      <x:c r="H15" s="11" t="str">
        <x:v>Por verificar</x:v>
      </x:c>
      <x:c r="I15" s="12"/>
      <x:c r="J15" s="12"/>
      <x:c r="K15" s="13"/>
      <x:c r="L15" s="13"/>
      <x:c r="M15" s="11"/>
      <x:c r="N15" s="11"/>
      <x:c r="O15" s="11" t="str">
        <x:v>Pendiente de vincular</x:v>
      </x:c>
    </x:row>
    <x:row r="16" ht="38" customHeight="1">
      <x:c r="A16" s="10" t="str">
        <x:v>SB2-008</x:v>
      </x:c>
      <x:c r="B16" s="10" t="str">
        <x:v>Sprint 2</x:v>
      </x:c>
      <x:c r="C16" s="10" t="str">
        <x:v>HU-012</x:v>
      </x:c>
      <x:c r="D16" s="10" t="str">
        <x:v>Diseñar o ajustar interfaz y mensajes para abastecimiento.</x:v>
      </x:c>
      <x:c r="E16" s="10" t="str">
        <x:v>Vicente Palma</x:v>
      </x:c>
      <x:c r="F16" s="10" t="str">
        <x:v>HU-010, HU-011</x:v>
      </x:c>
      <x:c r="G16" s="10" t="str">
        <x:v>Vista o flujo revisado, campos y mensajes definidos y comportamiento móvil considerado.</x:v>
      </x:c>
      <x:c r="H16" s="11" t="str">
        <x:v>Por verificar</x:v>
      </x:c>
      <x:c r="I16" s="12"/>
      <x:c r="J16" s="12"/>
      <x:c r="K16" s="13"/>
      <x:c r="L16" s="13"/>
      <x:c r="M16" s="11"/>
      <x:c r="N16" s="11"/>
      <x:c r="O16" s="11" t="str">
        <x:v>Pendiente de vincular</x:v>
      </x:c>
    </x:row>
    <x:row r="17" ht="38" customHeight="1">
      <x:c r="A17" s="6" t="str">
        <x:v>SB2-009</x:v>
      </x:c>
      <x:c r="B17" s="6" t="str">
        <x:v>Sprint 2</x:v>
      </x:c>
      <x:c r="C17" s="6" t="str">
        <x:v>HU-012</x:v>
      </x:c>
      <x:c r="D17" s="6" t="str">
        <x:v>Implementar la función para generar solicitudes de reposición.</x:v>
      </x:c>
      <x:c r="E17" s="6" t="str">
        <x:v>Alonso Urrutia</x:v>
      </x:c>
      <x:c r="F17" s="6" t="str">
        <x:v>SB2-008</x:v>
      </x:c>
      <x:c r="G17" s="6" t="str">
        <x:v>Productos bajo mínimo identificados; solicitud creada; estado controlado; recepción actualiza existencias.</x:v>
      </x:c>
      <x:c r="H17" s="11" t="str">
        <x:v>Por verificar</x:v>
      </x:c>
      <x:c r="I17" s="12"/>
      <x:c r="J17" s="12"/>
      <x:c r="K17" s="13"/>
      <x:c r="L17" s="13"/>
      <x:c r="M17" s="11"/>
      <x:c r="N17" s="11"/>
      <x:c r="O17" s="11" t="str">
        <x:v>Pendiente de vincular</x:v>
      </x:c>
    </x:row>
    <x:row r="18" ht="49" customHeight="1">
      <x:c r="A18" s="10" t="str">
        <x:v>SB2-010</x:v>
      </x:c>
      <x:c r="B18" s="10" t="str">
        <x:v>Sprint 2</x:v>
      </x:c>
      <x:c r="C18" s="10" t="str">
        <x:v>HU-012</x:v>
      </x:c>
      <x:c r="D18" s="10" t="str">
        <x:v>Verificar criterios de aceptación, permisos y casos negativos de HU-012.</x:v>
      </x:c>
      <x:c r="E18" s="10" t="str">
        <x:v>Franco Miranda</x:v>
      </x:c>
      <x:c r="F18" s="10" t="str">
        <x:v>SB2-009</x:v>
      </x:c>
      <x:c r="G18" s="10" t="str">
        <x:v>Casos ejecutados y evidencia vinculada; defectos clasificados; criterios del PBI verificados: Productos bajo mínimo identificados; solicitud creada; estado controlado; recepción actualiza existencias.</x:v>
      </x:c>
      <x:c r="H18" s="11" t="str">
        <x:v>Por verificar</x:v>
      </x:c>
      <x:c r="I18" s="12"/>
      <x:c r="J18" s="12"/>
      <x:c r="K18" s="13"/>
      <x:c r="L18" s="13"/>
      <x:c r="M18" s="11"/>
      <x:c r="N18" s="11"/>
      <x:c r="O18" s="11" t="str">
        <x:v>Pendiente de vincular</x:v>
      </x:c>
    </x:row>
    <x:row r="19" ht="38" customHeight="1">
      <x:c r="A19" s="6" t="str">
        <x:v>SB2-011</x:v>
      </x:c>
      <x:c r="B19" s="6" t="str">
        <x:v>Sprint 2</x:v>
      </x:c>
      <x:c r="C19" s="6" t="str">
        <x:v>HU-017</x:v>
      </x:c>
      <x:c r="D19" s="6" t="str">
        <x:v>Diseñar o ajustar interfaz y mensajes para entrega.</x:v>
      </x:c>
      <x:c r="E19" s="6" t="str">
        <x:v>Vicente Palma</x:v>
      </x:c>
      <x:c r="F19" s="6" t="str">
        <x:v>HU-016</x:v>
      </x:c>
      <x:c r="G19" s="6" t="str">
        <x:v>Vista o flujo revisado, campos y mensajes definidos y comportamiento móvil considerado.</x:v>
      </x:c>
      <x:c r="H19" s="11" t="str">
        <x:v>Por verificar</x:v>
      </x:c>
      <x:c r="I19" s="12"/>
      <x:c r="J19" s="12"/>
      <x:c r="K19" s="13"/>
      <x:c r="L19" s="13"/>
      <x:c r="M19" s="11"/>
      <x:c r="N19" s="11"/>
      <x:c r="O19" s="11" t="str">
        <x:v>Pendiente de vincular</x:v>
      </x:c>
    </x:row>
    <x:row r="20" ht="38" customHeight="1">
      <x:c r="A20" s="10" t="str">
        <x:v>SB2-012</x:v>
      </x:c>
      <x:c r="B20" s="10" t="str">
        <x:v>Sprint 2</x:v>
      </x:c>
      <x:c r="C20" s="10" t="str">
        <x:v>HU-017</x:v>
      </x:c>
      <x:c r="D20" s="10" t="str">
        <x:v>Implementar la función para elegir retiro o despacho.</x:v>
      </x:c>
      <x:c r="E20" s="10" t="str">
        <x:v>Alonso Urrutia</x:v>
      </x:c>
      <x:c r="F20" s="10" t="str">
        <x:v>SB2-011</x:v>
      </x:c>
      <x:c r="G20" s="10" t="str">
        <x:v>Modalidades disponibles; dirección validada para despacho; sucursal definida para retiro; elección guardada.</x:v>
      </x:c>
      <x:c r="H20" s="11" t="str">
        <x:v>Por verificar</x:v>
      </x:c>
      <x:c r="I20" s="12"/>
      <x:c r="J20" s="12"/>
      <x:c r="K20" s="13"/>
      <x:c r="L20" s="13"/>
      <x:c r="M20" s="11"/>
      <x:c r="N20" s="11"/>
      <x:c r="O20" s="11" t="str">
        <x:v>Pendiente de vincular</x:v>
      </x:c>
    </x:row>
    <x:row r="21" ht="49" customHeight="1">
      <x:c r="A21" s="6" t="str">
        <x:v>SB2-013</x:v>
      </x:c>
      <x:c r="B21" s="6" t="str">
        <x:v>Sprint 2</x:v>
      </x:c>
      <x:c r="C21" s="6" t="str">
        <x:v>HU-017</x:v>
      </x:c>
      <x:c r="D21" s="6" t="str">
        <x:v>Verificar criterios de aceptación, permisos y casos negativos de HU-017.</x:v>
      </x:c>
      <x:c r="E21" s="6" t="str">
        <x:v>Franco Miranda</x:v>
      </x:c>
      <x:c r="F21" s="6" t="str">
        <x:v>SB2-012</x:v>
      </x:c>
      <x:c r="G21" s="6" t="str">
        <x:v>Casos ejecutados y evidencia vinculada; defectos clasificados; criterios del PBI verificados: Modalidades disponibles; dirección validada para despacho; sucursal definida para retiro; elección guardada.</x:v>
      </x:c>
      <x:c r="H21" s="11" t="str">
        <x:v>Por verificar</x:v>
      </x:c>
      <x:c r="I21" s="12"/>
      <x:c r="J21" s="12"/>
      <x:c r="K21" s="13"/>
      <x:c r="L21" s="13"/>
      <x:c r="M21" s="11"/>
      <x:c r="N21" s="11"/>
      <x:c r="O21" s="11" t="str">
        <x:v>Pendiente de vincular</x:v>
      </x:c>
    </x:row>
    <x:row r="22" ht="38" customHeight="1">
      <x:c r="A22" s="10" t="str">
        <x:v>SB2-014</x:v>
      </x:c>
      <x:c r="B22" s="10" t="str">
        <x:v>Sprint 2</x:v>
      </x:c>
      <x:c r="C22" s="10" t="str">
        <x:v>HU-019</x:v>
      </x:c>
      <x:c r="D22" s="10" t="str">
        <x:v>Diseñar o ajustar interfaz y mensajes para ventas.</x:v>
      </x:c>
      <x:c r="E22" s="10" t="str">
        <x:v>Vicente Palma</x:v>
      </x:c>
      <x:c r="F22" s="10" t="str">
        <x:v>HU-016, HU-017</x:v>
      </x:c>
      <x:c r="G22" s="10" t="str">
        <x:v>Vista o flujo revisado, campos y mensajes definidos y comportamiento móvil considerado.</x:v>
      </x:c>
      <x:c r="H22" s="11" t="str">
        <x:v>Por verificar</x:v>
      </x:c>
      <x:c r="I22" s="12"/>
      <x:c r="J22" s="12"/>
      <x:c r="K22" s="13"/>
      <x:c r="L22" s="13"/>
      <x:c r="M22" s="11"/>
      <x:c r="N22" s="11"/>
      <x:c r="O22" s="11" t="str">
        <x:v>Pendiente de vincular</x:v>
      </x:c>
    </x:row>
    <x:row r="23" ht="38" customHeight="1">
      <x:c r="A23" s="6" t="str">
        <x:v>SB2-015</x:v>
      </x:c>
      <x:c r="B23" s="6" t="str">
        <x:v>Sprint 2</x:v>
      </x:c>
      <x:c r="C23" s="6" t="str">
        <x:v>HU-019</x:v>
      </x:c>
      <x:c r="D23" s="6" t="str">
        <x:v>Implementar la función para actualizar estados de ventas, retiros y despachos.</x:v>
      </x:c>
      <x:c r="E23" s="6" t="str">
        <x:v>Alonso Urrutia</x:v>
      </x:c>
      <x:c r="F23" s="6" t="str">
        <x:v>SB2-014</x:v>
      </x:c>
      <x:c r="G23" s="6" t="str">
        <x:v>Estados permitidos; transiciones controladas; panel administrativo; estado visible al cliente.</x:v>
      </x:c>
      <x:c r="H23" s="11" t="str">
        <x:v>Por verificar</x:v>
      </x:c>
      <x:c r="I23" s="12"/>
      <x:c r="J23" s="12"/>
      <x:c r="K23" s="13"/>
      <x:c r="L23" s="13"/>
      <x:c r="M23" s="11"/>
      <x:c r="N23" s="11"/>
      <x:c r="O23" s="11" t="str">
        <x:v>Pendiente de vincular</x:v>
      </x:c>
    </x:row>
    <x:row r="24" ht="49" customHeight="1">
      <x:c r="A24" s="10" t="str">
        <x:v>SB2-016</x:v>
      </x:c>
      <x:c r="B24" s="10" t="str">
        <x:v>Sprint 2</x:v>
      </x:c>
      <x:c r="C24" s="10" t="str">
        <x:v>HU-019</x:v>
      </x:c>
      <x:c r="D24" s="10" t="str">
        <x:v>Verificar criterios de aceptación, permisos y casos negativos de HU-019.</x:v>
      </x:c>
      <x:c r="E24" s="10" t="str">
        <x:v>Franco Miranda</x:v>
      </x:c>
      <x:c r="F24" s="10" t="str">
        <x:v>SB2-015</x:v>
      </x:c>
      <x:c r="G24" s="10" t="str">
        <x:v>Casos ejecutados y evidencia vinculada; defectos clasificados; criterios del PBI verificados: Estados permitidos; transiciones controladas; panel administrativo; estado visible al cliente.</x:v>
      </x:c>
      <x:c r="H24" s="11" t="str">
        <x:v>Por verificar</x:v>
      </x:c>
      <x:c r="I24" s="12"/>
      <x:c r="J24" s="12"/>
      <x:c r="K24" s="13"/>
      <x:c r="L24" s="13"/>
      <x:c r="M24" s="11"/>
      <x:c r="N24" s="11"/>
      <x:c r="O24" s="11" t="str">
        <x:v>Pendiente de vincular</x:v>
      </x:c>
    </x:row>
    <x:row r="25" ht="38" customHeight="1">
      <x:c r="A25" s="6" t="str">
        <x:v>SB2-017</x:v>
      </x:c>
      <x:c r="B25" s="6" t="str">
        <x:v>Sprint 2</x:v>
      </x:c>
      <x:c r="C25" s="6" t="str">
        <x:v>HU-026</x:v>
      </x:c>
      <x:c r="D25" s="6" t="str">
        <x:v>Diseñar o ajustar interfaz y mensajes para asistente ia.</x:v>
      </x:c>
      <x:c r="E25" s="6" t="str">
        <x:v>Vicente Palma</x:v>
      </x:c>
      <x:c r="F25" s="6" t="str">
        <x:v>HU-006</x:v>
      </x:c>
      <x:c r="G25" s="6" t="str">
        <x:v>Vista o flujo revisado, campos y mensajes definidos y comportamiento móvil considerado.</x:v>
      </x:c>
      <x:c r="H25" s="11" t="str">
        <x:v>Por verificar</x:v>
      </x:c>
      <x:c r="I25" s="12"/>
      <x:c r="J25" s="12"/>
      <x:c r="K25" s="13"/>
      <x:c r="L25" s="13"/>
      <x:c r="M25" s="11"/>
      <x:c r="N25" s="11"/>
      <x:c r="O25" s="11" t="str">
        <x:v>Pendiente de vincular</x:v>
      </x:c>
    </x:row>
    <x:row r="26" ht="38" customHeight="1">
      <x:c r="A26" s="10" t="str">
        <x:v>SB2-018</x:v>
      </x:c>
      <x:c r="B26" s="10" t="str">
        <x:v>Sprint 2</x:v>
      </x:c>
      <x:c r="C26" s="10" t="str">
        <x:v>HU-026</x:v>
      </x:c>
      <x:c r="D26" s="10" t="str">
        <x:v>Implementar la función para describir un proyecto doméstico.</x:v>
      </x:c>
      <x:c r="E26" s="10" t="str">
        <x:v>Alonso Urrutia</x:v>
      </x:c>
      <x:c r="F26" s="10" t="str">
        <x:v>SB2-017</x:v>
      </x:c>
      <x:c r="G26" s="10" t="str">
        <x:v>Chat disponible; consulta enviada; respuesta comprensible; límites y advertencias informados.</x:v>
      </x:c>
      <x:c r="H26" s="11" t="str">
        <x:v>Por verificar</x:v>
      </x:c>
      <x:c r="I26" s="12"/>
      <x:c r="J26" s="12"/>
      <x:c r="K26" s="13"/>
      <x:c r="L26" s="13"/>
      <x:c r="M26" s="11"/>
      <x:c r="N26" s="11"/>
      <x:c r="O26" s="11" t="str">
        <x:v>Pendiente de vincular</x:v>
      </x:c>
    </x:row>
    <x:row r="27" ht="49" customHeight="1">
      <x:c r="A27" s="6" t="str">
        <x:v>SB2-019</x:v>
      </x:c>
      <x:c r="B27" s="6" t="str">
        <x:v>Sprint 2</x:v>
      </x:c>
      <x:c r="C27" s="6" t="str">
        <x:v>HU-026</x:v>
      </x:c>
      <x:c r="D27" s="6" t="str">
        <x:v>Verificar criterios de aceptación, permisos y casos negativos de HU-026.</x:v>
      </x:c>
      <x:c r="E27" s="6" t="str">
        <x:v>Franco Miranda</x:v>
      </x:c>
      <x:c r="F27" s="6" t="str">
        <x:v>SB2-018</x:v>
      </x:c>
      <x:c r="G27" s="6" t="str">
        <x:v>Casos ejecutados y evidencia vinculada; defectos clasificados; criterios del PBI verificados: Chat disponible; consulta enviada; respuesta comprensible; límites y advertencias informados.</x:v>
      </x:c>
      <x:c r="H27" s="11" t="str">
        <x:v>Por verificar</x:v>
      </x:c>
      <x:c r="I27" s="12"/>
      <x:c r="J27" s="12"/>
      <x:c r="K27" s="13"/>
      <x:c r="L27" s="13"/>
      <x:c r="M27" s="11"/>
      <x:c r="N27" s="11"/>
      <x:c r="O27" s="11" t="str">
        <x:v>Pendiente de vincular</x:v>
      </x:c>
    </x:row>
    <x:row r="28" ht="38" customHeight="1">
      <x:c r="A28" s="10" t="str">
        <x:v>SB2-020</x:v>
      </x:c>
      <x:c r="B28" s="10" t="str">
        <x:v>Sprint 2</x:v>
      </x:c>
      <x:c r="C28" s="10" t="str">
        <x:v>HU-027</x:v>
      </x:c>
      <x:c r="D28" s="10" t="str">
        <x:v>Diseñar o ajustar interfaz y mensajes para asistente ia.</x:v>
      </x:c>
      <x:c r="E28" s="10" t="str">
        <x:v>Vicente Palma</x:v>
      </x:c>
      <x:c r="F28" s="10" t="str">
        <x:v>HU-026, HU-006</x:v>
      </x:c>
      <x:c r="G28" s="10" t="str">
        <x:v>Vista o flujo revisado, campos y mensajes definidos y comportamiento móvil considerado.</x:v>
      </x:c>
      <x:c r="H28" s="11" t="str">
        <x:v>Por verificar</x:v>
      </x:c>
      <x:c r="I28" s="12"/>
      <x:c r="J28" s="12"/>
      <x:c r="K28" s="13"/>
      <x:c r="L28" s="13"/>
      <x:c r="M28" s="11"/>
      <x:c r="N28" s="11"/>
      <x:c r="O28" s="11" t="str">
        <x:v>Pendiente de vincular</x:v>
      </x:c>
    </x:row>
    <x:row r="29" ht="38" customHeight="1">
      <x:c r="A29" s="6" t="str">
        <x:v>SB2-021</x:v>
      </x:c>
      <x:c r="B29" s="6" t="str">
        <x:v>Sprint 2</x:v>
      </x:c>
      <x:c r="C29" s="6" t="str">
        <x:v>HU-027</x:v>
      </x:c>
      <x:c r="D29" s="6" t="str">
        <x:v>Implementar la función para recibir productos del catálogo relacionados con su consulta.</x:v>
      </x:c>
      <x:c r="E29" s="6" t="str">
        <x:v>Alonso Urrutia</x:v>
      </x:c>
      <x:c r="F29" s="6" t="str">
        <x:v>SB2-020</x:v>
      </x:c>
      <x:c r="G29" s="6" t="str">
        <x:v>Recomendaciones vinculadas a productos existentes; disponibilidad considerada; enlaces a ficha; sin productos inventados.</x:v>
      </x:c>
      <x:c r="H29" s="11" t="str">
        <x:v>Por verificar</x:v>
      </x:c>
      <x:c r="I29" s="12"/>
      <x:c r="J29" s="12"/>
      <x:c r="K29" s="13"/>
      <x:c r="L29" s="13"/>
      <x:c r="M29" s="11"/>
      <x:c r="N29" s="11"/>
      <x:c r="O29" s="11" t="str">
        <x:v>Pendiente de vincular</x:v>
      </x:c>
    </x:row>
    <x:row r="30" ht="62" customHeight="1">
      <x:c r="A30" s="10" t="str">
        <x:v>SB2-022</x:v>
      </x:c>
      <x:c r="B30" s="10" t="str">
        <x:v>Sprint 2</x:v>
      </x:c>
      <x:c r="C30" s="10" t="str">
        <x:v>HU-027</x:v>
      </x:c>
      <x:c r="D30" s="10" t="str">
        <x:v>Verificar criterios de aceptación, permisos y casos negativos de HU-027.</x:v>
      </x:c>
      <x:c r="E30" s="10" t="str">
        <x:v>Franco Miranda</x:v>
      </x:c>
      <x:c r="F30" s="10" t="str">
        <x:v>SB2-021</x:v>
      </x:c>
      <x:c r="G30" s="10" t="str">
        <x:v>Casos ejecutados y evidencia vinculada; defectos clasificados; criterios del PBI verificados: Recomendaciones vinculadas a productos existentes; disponibilidad considerada; enlaces a ficha; sin productos inventados.</x:v>
      </x:c>
      <x:c r="H30" s="11" t="str">
        <x:v>Por verificar</x:v>
      </x:c>
      <x:c r="I30" s="12"/>
      <x:c r="J30" s="12"/>
      <x:c r="K30" s="13"/>
      <x:c r="L30" s="13"/>
      <x:c r="M30" s="11"/>
      <x:c r="N30" s="11"/>
      <x:c r="O30" s="11" t="str">
        <x:v>Pendiente de vincular</x:v>
      </x:c>
    </x:row>
    <x:row r="31" ht="38" customHeight="1">
      <x:c r="A31" s="6" t="str">
        <x:v>SB2-023</x:v>
      </x:c>
      <x:c r="B31" s="6" t="str">
        <x:v>Sprint 2</x:v>
      </x:c>
      <x:c r="C31" s="6" t="str">
        <x:v>HU-028</x:v>
      </x:c>
      <x:c r="D31" s="6" t="str">
        <x:v>Diseñar o ajustar interfaz y mensajes para asistente ia.</x:v>
      </x:c>
      <x:c r="E31" s="6" t="str">
        <x:v>Vicente Palma</x:v>
      </x:c>
      <x:c r="F31" s="6" t="str">
        <x:v>HU-026</x:v>
      </x:c>
      <x:c r="G31" s="6" t="str">
        <x:v>Vista o flujo revisado, campos y mensajes definidos y comportamiento móvil considerado.</x:v>
      </x:c>
      <x:c r="H31" s="11" t="str">
        <x:v>Por verificar</x:v>
      </x:c>
      <x:c r="I31" s="12"/>
      <x:c r="J31" s="12"/>
      <x:c r="K31" s="13"/>
      <x:c r="L31" s="13"/>
      <x:c r="M31" s="11"/>
      <x:c r="N31" s="11"/>
      <x:c r="O31" s="11" t="str">
        <x:v>Pendiente de vincular</x:v>
      </x:c>
    </x:row>
    <x:row r="32" ht="38" customHeight="1">
      <x:c r="A32" s="10" t="str">
        <x:v>SB2-024</x:v>
      </x:c>
      <x:c r="B32" s="10" t="str">
        <x:v>Sprint 2</x:v>
      </x:c>
      <x:c r="C32" s="10" t="str">
        <x:v>HU-028</x:v>
      </x:c>
      <x:c r="D32" s="10" t="str">
        <x:v>Implementar la función para obtener una lista estimada de materiales y tiempo.</x:v>
      </x:c>
      <x:c r="E32" s="10" t="str">
        <x:v>Alonso Urrutia</x:v>
      </x:c>
      <x:c r="F32" s="10" t="str">
        <x:v>SB2-023</x:v>
      </x:c>
      <x:c r="G32" s="10" t="str">
        <x:v>Materiales enumerados; cantidades identificadas como estimaciones; tiempo aproximado; recomendaciones explicadas.</x:v>
      </x:c>
      <x:c r="H32" s="11" t="str">
        <x:v>Por verificar</x:v>
      </x:c>
      <x:c r="I32" s="12"/>
      <x:c r="J32" s="12"/>
      <x:c r="K32" s="13"/>
      <x:c r="L32" s="13"/>
      <x:c r="M32" s="11"/>
      <x:c r="N32" s="11"/>
      <x:c r="O32" s="11" t="str">
        <x:v>Pendiente de vincular</x:v>
      </x:c>
    </x:row>
    <x:row r="33" ht="49" customHeight="1">
      <x:c r="A33" s="6" t="str">
        <x:v>SB2-025</x:v>
      </x:c>
      <x:c r="B33" s="6" t="str">
        <x:v>Sprint 2</x:v>
      </x:c>
      <x:c r="C33" s="6" t="str">
        <x:v>HU-028</x:v>
      </x:c>
      <x:c r="D33" s="6" t="str">
        <x:v>Verificar criterios de aceptación, permisos y casos negativos de HU-028.</x:v>
      </x:c>
      <x:c r="E33" s="6" t="str">
        <x:v>Franco Miranda</x:v>
      </x:c>
      <x:c r="F33" s="6" t="str">
        <x:v>SB2-024</x:v>
      </x:c>
      <x:c r="G33" s="6" t="str">
        <x:v>Casos ejecutados y evidencia vinculada; defectos clasificados; criterios del PBI verificados: Materiales enumerados; cantidades identificadas como estimaciones; tiempo aproximado; recomendaciones explicadas.</x:v>
      </x:c>
      <x:c r="H33" s="11" t="str">
        <x:v>Por verificar</x:v>
      </x:c>
      <x:c r="I33" s="12"/>
      <x:c r="J33" s="12"/>
      <x:c r="K33" s="13"/>
      <x:c r="L33" s="13"/>
      <x:c r="M33" s="11"/>
      <x:c r="N33" s="11"/>
      <x:c r="O33" s="11" t="str">
        <x:v>Pendiente de vincular</x:v>
      </x:c>
    </x:row>
    <x:row r="34" ht="38" customHeight="1">
      <x:c r="A34" s="10" t="str">
        <x:v>SB2-026</x:v>
      </x:c>
      <x:c r="B34" s="10" t="str">
        <x:v>Sprint 2</x:v>
      </x:c>
      <x:c r="C34" s="10" t="str">
        <x:v>HU-029</x:v>
      </x:c>
      <x:c r="D34" s="10" t="str">
        <x:v>Implementar la función para controlar errores y respuestas inseguras de la IA.</x:v>
      </x:c>
      <x:c r="E34" s="10" t="str">
        <x:v>Alonso Urrutia</x:v>
      </x:c>
      <x:c r="F34" s="10" t="str">
        <x:v>HU-026</x:v>
      </x:c>
      <x:c r="G34" s="10" t="str">
        <x:v>Errores externos controlados; consultas ambiguas aclaradas; contenido riesgoso limitado; registros sin datos sensibles.</x:v>
      </x:c>
      <x:c r="H34" s="11" t="str">
        <x:v>Por verificar</x:v>
      </x:c>
      <x:c r="I34" s="12"/>
      <x:c r="J34" s="12"/>
      <x:c r="K34" s="13"/>
      <x:c r="L34" s="13"/>
      <x:c r="M34" s="11"/>
      <x:c r="N34" s="11"/>
      <x:c r="O34" s="11" t="str">
        <x:v>Pendiente de vincular</x:v>
      </x:c>
    </x:row>
    <x:row r="35" ht="49" customHeight="1">
      <x:c r="A35" s="6" t="str">
        <x:v>SB2-027</x:v>
      </x:c>
      <x:c r="B35" s="6" t="str">
        <x:v>Sprint 2</x:v>
      </x:c>
      <x:c r="C35" s="6" t="str">
        <x:v>HU-029</x:v>
      </x:c>
      <x:c r="D35" s="6" t="str">
        <x:v>Verificar criterios de aceptación, permisos y casos negativos de HU-029.</x:v>
      </x:c>
      <x:c r="E35" s="6" t="str">
        <x:v>Franco Miranda</x:v>
      </x:c>
      <x:c r="F35" s="6" t="str">
        <x:v>SB2-026</x:v>
      </x:c>
      <x:c r="G35" s="6" t="str">
        <x:v>Casos ejecutados y evidencia vinculada; defectos clasificados; criterios del PBI verificados: Errores externos controlados; consultas ambiguas aclaradas; contenido riesgoso limitado; registros sin datos sensibles.</x:v>
      </x:c>
      <x:c r="H35" s="11" t="str">
        <x:v>Por verificar</x:v>
      </x:c>
      <x:c r="I35" s="12"/>
      <x:c r="J35" s="12"/>
      <x:c r="K35" s="13"/>
      <x:c r="L35" s="13"/>
      <x:c r="M35" s="11"/>
      <x:c r="N35" s="11"/>
      <x:c r="O35" s="11" t="str">
        <x:v>Pendiente de vincular</x:v>
      </x:c>
    </x:row>
    <x:row r="36" ht="38" customHeight="1">
      <x:c r="A36" s="10" t="str">
        <x:v>SB2-028</x:v>
      </x:c>
      <x:c r="B36" s="10" t="str">
        <x:v>Sprint 2</x:v>
      </x:c>
      <x:c r="C36" s="10" t="str">
        <x:v>HU-030</x:v>
      </x:c>
      <x:c r="D36" s="10" t="str">
        <x:v>Diseñar o ajustar interfaz y mensajes para pintura inteligente.</x:v>
      </x:c>
      <x:c r="E36" s="10" t="str">
        <x:v>Vicente Palma</x:v>
      </x:c>
      <x:c r="F36" s="10" t="str">
        <x:v>HU-028</x:v>
      </x:c>
      <x:c r="G36" s="10" t="str">
        <x:v>Vista o flujo revisado, campos y mensajes definidos y comportamiento móvil considerado.</x:v>
      </x:c>
      <x:c r="H36" s="11" t="str">
        <x:v>Por verificar</x:v>
      </x:c>
      <x:c r="I36" s="12"/>
      <x:c r="J36" s="12"/>
      <x:c r="K36" s="13"/>
      <x:c r="L36" s="13"/>
      <x:c r="M36" s="11"/>
      <x:c r="N36" s="11"/>
      <x:c r="O36" s="11" t="str">
        <x:v>Pendiente de vincular</x:v>
      </x:c>
    </x:row>
    <x:row r="37" ht="38" customHeight="1">
      <x:c r="A37" s="6" t="str">
        <x:v>SB2-029</x:v>
      </x:c>
      <x:c r="B37" s="6" t="str">
        <x:v>Sprint 2</x:v>
      </x:c>
      <x:c r="C37" s="6" t="str">
        <x:v>HU-030</x:v>
      </x:c>
      <x:c r="D37" s="6" t="str">
        <x:v>Implementar la función para calcular la pintura necesaria según las dimensiones.</x:v>
      </x:c>
      <x:c r="E37" s="6" t="str">
        <x:v>Alonso Urrutia</x:v>
      </x:c>
      <x:c r="F37" s="6" t="str">
        <x:v>SB2-028</x:v>
      </x:c>
      <x:c r="G37" s="6" t="str">
        <x:v>Superficie calculada; puertas y ventanas descontables; rendimiento y manos configurables; resultado verificable.</x:v>
      </x:c>
      <x:c r="H37" s="11" t="str">
        <x:v>Por verificar</x:v>
      </x:c>
      <x:c r="I37" s="12"/>
      <x:c r="J37" s="12"/>
      <x:c r="K37" s="13"/>
      <x:c r="L37" s="13"/>
      <x:c r="M37" s="11"/>
      <x:c r="N37" s="11"/>
      <x:c r="O37" s="11" t="str">
        <x:v>Pendiente de vincular</x:v>
      </x:c>
    </x:row>
    <x:row r="38" ht="49" customHeight="1">
      <x:c r="A38" s="10" t="str">
        <x:v>SB2-030</x:v>
      </x:c>
      <x:c r="B38" s="10" t="str">
        <x:v>Sprint 2</x:v>
      </x:c>
      <x:c r="C38" s="10" t="str">
        <x:v>HU-030</x:v>
      </x:c>
      <x:c r="D38" s="10" t="str">
        <x:v>Verificar criterios de aceptación, permisos y casos negativos de HU-030.</x:v>
      </x:c>
      <x:c r="E38" s="10" t="str">
        <x:v>Franco Miranda</x:v>
      </x:c>
      <x:c r="F38" s="10" t="str">
        <x:v>SB2-029</x:v>
      </x:c>
      <x:c r="G38" s="10" t="str">
        <x:v>Casos ejecutados y evidencia vinculada; defectos clasificados; criterios del PBI verificados: Superficie calculada; puertas y ventanas descontables; rendimiento y manos configurables; resultado verificable.</x:v>
      </x:c>
      <x:c r="H38" s="11" t="str">
        <x:v>Por verificar</x:v>
      </x:c>
      <x:c r="I38" s="12"/>
      <x:c r="J38" s="12"/>
      <x:c r="K38" s="13"/>
      <x:c r="L38" s="13"/>
      <x:c r="M38" s="11"/>
      <x:c r="N38" s="11"/>
      <x:c r="O38" s="11" t="str">
        <x:v>Pendiente de vincular</x:v>
      </x:c>
    </x:row>
    <x:row r="39" ht="38" customHeight="1">
      <x:c r="A39" s="6" t="str">
        <x:v>SB2-031</x:v>
      </x:c>
      <x:c r="B39" s="6" t="str">
        <x:v>Sprint 2</x:v>
      </x:c>
      <x:c r="C39" s="6" t="str">
        <x:v>HU-031</x:v>
      </x:c>
      <x:c r="D39" s="6" t="str">
        <x:v>Diseñar o ajustar interfaz y mensajes para pintura inteligente.</x:v>
      </x:c>
      <x:c r="E39" s="6" t="str">
        <x:v>Vicente Palma</x:v>
      </x:c>
      <x:c r="F39" s="6" t="str">
        <x:v>HU-026</x:v>
      </x:c>
      <x:c r="G39" s="6" t="str">
        <x:v>Vista o flujo revisado, campos y mensajes definidos y comportamiento móvil considerado.</x:v>
      </x:c>
      <x:c r="H39" s="11" t="str">
        <x:v>Por verificar</x:v>
      </x:c>
      <x:c r="I39" s="12"/>
      <x:c r="J39" s="12"/>
      <x:c r="K39" s="13"/>
      <x:c r="L39" s="13"/>
      <x:c r="M39" s="11"/>
      <x:c r="N39" s="11"/>
      <x:c r="O39" s="11" t="str">
        <x:v>Pendiente de vincular</x:v>
      </x:c>
    </x:row>
    <x:row r="40" ht="38" customHeight="1">
      <x:c r="A40" s="10" t="str">
        <x:v>SB2-032</x:v>
      </x:c>
      <x:c r="B40" s="10" t="str">
        <x:v>Sprint 2</x:v>
      </x:c>
      <x:c r="C40" s="10" t="str">
        <x:v>HU-031</x:v>
      </x:c>
      <x:c r="D40" s="10" t="str">
        <x:v>Implementar la función para subir una fotografía.</x:v>
      </x:c>
      <x:c r="E40" s="10" t="str">
        <x:v>Alonso Urrutia</x:v>
      </x:c>
      <x:c r="F40" s="10" t="str">
        <x:v>SB2-031</x:v>
      </x:c>
      <x:c r="G40" s="10" t="str">
        <x:v>Imagen válida cargada; formato y tamaño controlados; análisis ejecutado; colores sugeridos mostrados.</x:v>
      </x:c>
      <x:c r="H40" s="11" t="str">
        <x:v>Por verificar</x:v>
      </x:c>
      <x:c r="I40" s="12"/>
      <x:c r="J40" s="12"/>
      <x:c r="K40" s="13"/>
      <x:c r="L40" s="13"/>
      <x:c r="M40" s="11"/>
      <x:c r="N40" s="11"/>
      <x:c r="O40" s="11" t="str">
        <x:v>Pendiente de vincular</x:v>
      </x:c>
    </x:row>
    <x:row r="41" ht="49" customHeight="1">
      <x:c r="A41" s="6" t="str">
        <x:v>SB2-033</x:v>
      </x:c>
      <x:c r="B41" s="6" t="str">
        <x:v>Sprint 2</x:v>
      </x:c>
      <x:c r="C41" s="6" t="str">
        <x:v>HU-031</x:v>
      </x:c>
      <x:c r="D41" s="6" t="str">
        <x:v>Verificar criterios de aceptación, permisos y casos negativos de HU-031.</x:v>
      </x:c>
      <x:c r="E41" s="6" t="str">
        <x:v>Franco Miranda</x:v>
      </x:c>
      <x:c r="F41" s="6" t="str">
        <x:v>SB2-032</x:v>
      </x:c>
      <x:c r="G41" s="6" t="str">
        <x:v>Casos ejecutados y evidencia vinculada; defectos clasificados; criterios del PBI verificados: Imagen válida cargada; formato y tamaño controlados; análisis ejecutado; colores sugeridos mostrados.</x:v>
      </x:c>
      <x:c r="H41" s="11" t="str">
        <x:v>Por verificar</x:v>
      </x:c>
      <x:c r="I41" s="12"/>
      <x:c r="J41" s="12"/>
      <x:c r="K41" s="13"/>
      <x:c r="L41" s="13"/>
      <x:c r="M41" s="11"/>
      <x:c r="N41" s="11"/>
      <x:c r="O41" s="11" t="str">
        <x:v>Pendiente de vincular</x:v>
      </x:c>
    </x:row>
    <x:row r="42" ht="38" customHeight="1">
      <x:c r="A42" s="10" t="str">
        <x:v>SB2-034</x:v>
      </x:c>
      <x:c r="B42" s="10" t="str">
        <x:v>Sprint 2</x:v>
      </x:c>
      <x:c r="C42" s="10" t="str">
        <x:v>HU-032</x:v>
      </x:c>
      <x:c r="D42" s="10" t="str">
        <x:v>Diseñar o ajustar interfaz y mensajes para pintura inteligente.</x:v>
      </x:c>
      <x:c r="E42" s="10" t="str">
        <x:v>Vicente Palma</x:v>
      </x:c>
      <x:c r="F42" s="10" t="str">
        <x:v>HU-031, HU-007</x:v>
      </x:c>
      <x:c r="G42" s="10" t="str">
        <x:v>Vista o flujo revisado, campos y mensajes definidos y comportamiento móvil considerado.</x:v>
      </x:c>
      <x:c r="H42" s="11" t="str">
        <x:v>Por verificar</x:v>
      </x:c>
      <x:c r="I42" s="12"/>
      <x:c r="J42" s="12"/>
      <x:c r="K42" s="13"/>
      <x:c r="L42" s="13"/>
      <x:c r="M42" s="11"/>
      <x:c r="N42" s="11"/>
      <x:c r="O42" s="11" t="str">
        <x:v>Pendiente de vincular</x:v>
      </x:c>
    </x:row>
    <x:row r="43" ht="38" customHeight="1">
      <x:c r="A43" s="6" t="str">
        <x:v>SB2-035</x:v>
      </x:c>
      <x:c r="B43" s="6" t="str">
        <x:v>Sprint 2</x:v>
      </x:c>
      <x:c r="C43" s="6" t="str">
        <x:v>HU-032</x:v>
      </x:c>
      <x:c r="D43" s="6" t="str">
        <x:v>Implementar la función para visualizar colores y variantes de pintura.</x:v>
      </x:c>
      <x:c r="E43" s="6" t="str">
        <x:v>Alonso Urrutia</x:v>
      </x:c>
      <x:c r="F43" s="6" t="str">
        <x:v>SB2-034</x:v>
      </x:c>
      <x:c r="G43" s="6" t="str">
        <x:v>Paleta visible; variantes relacionadas con catálogo; resultado diferenciable de una simulación exacta; interfaz responsive.</x:v>
      </x:c>
      <x:c r="H43" s="11" t="str">
        <x:v>Por verificar</x:v>
      </x:c>
      <x:c r="I43" s="12"/>
      <x:c r="J43" s="12"/>
      <x:c r="K43" s="13"/>
      <x:c r="L43" s="13"/>
      <x:c r="M43" s="11"/>
      <x:c r="N43" s="11"/>
      <x:c r="O43" s="11" t="str">
        <x:v>Pendiente de vincular</x:v>
      </x:c>
    </x:row>
    <x:row r="44" ht="62" customHeight="1">
      <x:c r="A44" s="10" t="str">
        <x:v>SB2-036</x:v>
      </x:c>
      <x:c r="B44" s="10" t="str">
        <x:v>Sprint 2</x:v>
      </x:c>
      <x:c r="C44" s="10" t="str">
        <x:v>HU-032</x:v>
      </x:c>
      <x:c r="D44" s="10" t="str">
        <x:v>Verificar criterios de aceptación, permisos y casos negativos de HU-032.</x:v>
      </x:c>
      <x:c r="E44" s="10" t="str">
        <x:v>Franco Miranda</x:v>
      </x:c>
      <x:c r="F44" s="10" t="str">
        <x:v>SB2-035</x:v>
      </x:c>
      <x:c r="G44" s="10" t="str">
        <x:v>Casos ejecutados y evidencia vinculada; defectos clasificados; criterios del PBI verificados: Paleta visible; variantes relacionadas con catálogo; resultado diferenciable de una simulación exacta; interfaz responsive.</x:v>
      </x:c>
      <x:c r="H44" s="11" t="str">
        <x:v>Por verificar</x:v>
      </x:c>
      <x:c r="I44" s="12"/>
      <x:c r="J44" s="12"/>
      <x:c r="K44" s="13"/>
      <x:c r="L44" s="13"/>
      <x:c r="M44" s="11"/>
      <x:c r="N44" s="11"/>
      <x:c r="O44" s="11" t="str">
        <x:v>Pendiente de vincular</x:v>
      </x:c>
    </x:row>
    <x:row r="45" ht="38" customHeight="1">
      <x:c r="A45" s="6" t="str">
        <x:v>SB2-037</x:v>
      </x:c>
      <x:c r="B45" s="6" t="str">
        <x:v>Sprint 2</x:v>
      </x:c>
      <x:c r="C45" s="6" t="str">
        <x:v>HU-033</x:v>
      </x:c>
      <x:c r="D45" s="6" t="str">
        <x:v>Diseñar o ajustar interfaz y mensajes para pintura inteligente.</x:v>
      </x:c>
      <x:c r="E45" s="6" t="str">
        <x:v>Vicente Palma</x:v>
      </x:c>
      <x:c r="F45" s="6" t="str">
        <x:v>HU-030, HU-032, HU-013</x:v>
      </x:c>
      <x:c r="G45" s="6" t="str">
        <x:v>Vista o flujo revisado, campos y mensajes definidos y comportamiento móvil considerado.</x:v>
      </x:c>
      <x:c r="H45" s="11" t="str">
        <x:v>Por verificar</x:v>
      </x:c>
      <x:c r="I45" s="12"/>
      <x:c r="J45" s="12"/>
      <x:c r="K45" s="13"/>
      <x:c r="L45" s="13"/>
      <x:c r="M45" s="11"/>
      <x:c r="N45" s="11"/>
      <x:c r="O45" s="11" t="str">
        <x:v>Pendiente de vincular</x:v>
      </x:c>
    </x:row>
    <x:row r="46" ht="38" customHeight="1">
      <x:c r="A46" s="10" t="str">
        <x:v>SB2-038</x:v>
      </x:c>
      <x:c r="B46" s="10" t="str">
        <x:v>Sprint 2</x:v>
      </x:c>
      <x:c r="C46" s="10" t="str">
        <x:v>HU-033</x:v>
      </x:c>
      <x:c r="D46" s="10" t="str">
        <x:v>Implementar la función para agregar las pinturas recomendadas al carrito.</x:v>
      </x:c>
      <x:c r="E46" s="10" t="str">
        <x:v>Alonso Urrutia</x:v>
      </x:c>
      <x:c r="F46" s="10" t="str">
        <x:v>SB2-037</x:v>
      </x:c>
      <x:c r="G46" s="10" t="str">
        <x:v>Producto y variante correctos; cantidad calculada transferida; stock validado; carrito actualizado.</x:v>
      </x:c>
      <x:c r="H46" s="11" t="str">
        <x:v>Por verificar</x:v>
      </x:c>
      <x:c r="I46" s="12"/>
      <x:c r="J46" s="12"/>
      <x:c r="K46" s="13"/>
      <x:c r="L46" s="13"/>
      <x:c r="M46" s="11"/>
      <x:c r="N46" s="11"/>
      <x:c r="O46" s="11" t="str">
        <x:v>Pendiente de vincular</x:v>
      </x:c>
    </x:row>
    <x:row r="47" ht="49" customHeight="1">
      <x:c r="A47" s="6" t="str">
        <x:v>SB2-039</x:v>
      </x:c>
      <x:c r="B47" s="6" t="str">
        <x:v>Sprint 2</x:v>
      </x:c>
      <x:c r="C47" s="6" t="str">
        <x:v>HU-033</x:v>
      </x:c>
      <x:c r="D47" s="6" t="str">
        <x:v>Verificar criterios de aceptación, permisos y casos negativos de HU-033.</x:v>
      </x:c>
      <x:c r="E47" s="6" t="str">
        <x:v>Franco Miranda</x:v>
      </x:c>
      <x:c r="F47" s="6" t="str">
        <x:v>SB2-038</x:v>
      </x:c>
      <x:c r="G47" s="6" t="str">
        <x:v>Casos ejecutados y evidencia vinculada; defectos clasificados; criterios del PBI verificados: Producto y variante correctos; cantidad calculada transferida; stock validado; carrito actualizado.</x:v>
      </x:c>
      <x:c r="H47" s="11" t="str">
        <x:v>Por verificar</x:v>
      </x:c>
      <x:c r="I47" s="12"/>
      <x:c r="J47" s="12"/>
      <x:c r="K47" s="13"/>
      <x:c r="L47" s="13"/>
      <x:c r="M47" s="11"/>
      <x:c r="N47" s="11"/>
      <x:c r="O47" s="11" t="str">
        <x:v>Pendiente de vincular</x:v>
      </x:c>
    </x:row>
    <x:row r="48" ht="38" customHeight="1">
      <x:c r="A48" s="10" t="str">
        <x:v>SB2-040</x:v>
      </x:c>
      <x:c r="B48" s="10" t="str">
        <x:v>Sprint 2</x:v>
      </x:c>
      <x:c r="C48" s="10" t="str">
        <x:v>HU-034</x:v>
      </x:c>
      <x:c r="D48" s="10" t="str">
        <x:v>Diseñar o ajustar interfaz y mensajes para maestros.</x:v>
      </x:c>
      <x:c r="E48" s="10" t="str">
        <x:v>Vicente Palma</x:v>
      </x:c>
      <x:c r="F48" s="10" t="str">
        <x:v>HU-002, HU-004</x:v>
      </x:c>
      <x:c r="G48" s="10" t="str">
        <x:v>Vista o flujo revisado, campos y mensajes definidos y comportamiento móvil considerado.</x:v>
      </x:c>
      <x:c r="H48" s="11" t="str">
        <x:v>Por verificar</x:v>
      </x:c>
      <x:c r="I48" s="12"/>
      <x:c r="J48" s="12"/>
      <x:c r="K48" s="13"/>
      <x:c r="L48" s="13"/>
      <x:c r="M48" s="11"/>
      <x:c r="N48" s="11"/>
      <x:c r="O48" s="11" t="str">
        <x:v>Pendiente de vincular</x:v>
      </x:c>
    </x:row>
    <x:row r="49" ht="38" customHeight="1">
      <x:c r="A49" s="6" t="str">
        <x:v>SB2-041</x:v>
      </x:c>
      <x:c r="B49" s="6" t="str">
        <x:v>Sprint 2</x:v>
      </x:c>
      <x:c r="C49" s="6" t="str">
        <x:v>HU-034</x:v>
      </x:c>
      <x:c r="D49" s="6" t="str">
        <x:v>Implementar la función para crear un perfil profesional.</x:v>
      </x:c>
      <x:c r="E49" s="6" t="str">
        <x:v>Alonso Urrutia</x:v>
      </x:c>
      <x:c r="F49" s="6" t="str">
        <x:v>SB2-040</x:v>
      </x:c>
      <x:c r="G49" s="6" t="str">
        <x:v>Registro diferenciado; perfil privado creado; datos obligatorios validados; estado pendiente asignado.</x:v>
      </x:c>
      <x:c r="H49" s="11" t="str">
        <x:v>Por verificar</x:v>
      </x:c>
      <x:c r="I49" s="12"/>
      <x:c r="J49" s="12"/>
      <x:c r="K49" s="13"/>
      <x:c r="L49" s="13"/>
      <x:c r="M49" s="11"/>
      <x:c r="N49" s="11"/>
      <x:c r="O49" s="11" t="str">
        <x:v>Pendiente de vincular</x:v>
      </x:c>
    </x:row>
    <x:row r="50" ht="49" customHeight="1">
      <x:c r="A50" s="10" t="str">
        <x:v>SB2-042</x:v>
      </x:c>
      <x:c r="B50" s="10" t="str">
        <x:v>Sprint 2</x:v>
      </x:c>
      <x:c r="C50" s="10" t="str">
        <x:v>HU-034</x:v>
      </x:c>
      <x:c r="D50" s="10" t="str">
        <x:v>Verificar criterios de aceptación, permisos y casos negativos de HU-034.</x:v>
      </x:c>
      <x:c r="E50" s="10" t="str">
        <x:v>Franco Miranda</x:v>
      </x:c>
      <x:c r="F50" s="10" t="str">
        <x:v>SB2-041</x:v>
      </x:c>
      <x:c r="G50" s="10" t="str">
        <x:v>Casos ejecutados y evidencia vinculada; defectos clasificados; criterios del PBI verificados: Registro diferenciado; perfil privado creado; datos obligatorios validados; estado pendiente asignado.</x:v>
      </x:c>
      <x:c r="H50" s="11" t="str">
        <x:v>Por verificar</x:v>
      </x:c>
      <x:c r="I50" s="12"/>
      <x:c r="J50" s="12"/>
      <x:c r="K50" s="13"/>
      <x:c r="L50" s="13"/>
      <x:c r="M50" s="11"/>
      <x:c r="N50" s="11"/>
      <x:c r="O50" s="11" t="str">
        <x:v>Pendiente de vincular</x:v>
      </x:c>
    </x:row>
    <x:row r="51" ht="38" customHeight="1">
      <x:c r="A51" s="6" t="str">
        <x:v>SB2-043</x:v>
      </x:c>
      <x:c r="B51" s="6" t="str">
        <x:v>Sprint 2</x:v>
      </x:c>
      <x:c r="C51" s="6" t="str">
        <x:v>HU-035</x:v>
      </x:c>
      <x:c r="D51" s="6" t="str">
        <x:v>Diseñar o ajustar interfaz y mensajes para maestros.</x:v>
      </x:c>
      <x:c r="E51" s="6" t="str">
        <x:v>Vicente Palma</x:v>
      </x:c>
      <x:c r="F51" s="6" t="str">
        <x:v>HU-034</x:v>
      </x:c>
      <x:c r="G51" s="6" t="str">
        <x:v>Vista o flujo revisado, campos y mensajes definidos y comportamiento móvil considerado.</x:v>
      </x:c>
      <x:c r="H51" s="11" t="str">
        <x:v>Por verificar</x:v>
      </x:c>
      <x:c r="I51" s="12"/>
      <x:c r="J51" s="12"/>
      <x:c r="K51" s="13"/>
      <x:c r="L51" s="13"/>
      <x:c r="M51" s="11"/>
      <x:c r="N51" s="11"/>
      <x:c r="O51" s="11" t="str">
        <x:v>Pendiente de vincular</x:v>
      </x:c>
    </x:row>
    <x:row r="52" ht="38" customHeight="1">
      <x:c r="A52" s="10" t="str">
        <x:v>SB2-044</x:v>
      </x:c>
      <x:c r="B52" s="10" t="str">
        <x:v>Sprint 2</x:v>
      </x:c>
      <x:c r="C52" s="10" t="str">
        <x:v>HU-035</x:v>
      </x:c>
      <x:c r="D52" s="10" t="str">
        <x:v>Implementar la función para registrar especialidades, ubicación y experiencia.</x:v>
      </x:c>
      <x:c r="E52" s="10" t="str">
        <x:v>Alonso Urrutia</x:v>
      </x:c>
      <x:c r="F52" s="10" t="str">
        <x:v>SB2-043</x:v>
      </x:c>
      <x:c r="G52" s="10" t="str">
        <x:v>Especialidades seleccionables; región y comuna válidas; experiencia editable; información guardada.</x:v>
      </x:c>
      <x:c r="H52" s="11" t="str">
        <x:v>Por verificar</x:v>
      </x:c>
      <x:c r="I52" s="12"/>
      <x:c r="J52" s="12"/>
      <x:c r="K52" s="13"/>
      <x:c r="L52" s="13"/>
      <x:c r="M52" s="11"/>
      <x:c r="N52" s="11"/>
      <x:c r="O52" s="11" t="str">
        <x:v>Pendiente de vincular</x:v>
      </x:c>
    </x:row>
    <x:row r="53" ht="49" customHeight="1">
      <x:c r="A53" s="6" t="str">
        <x:v>SB2-045</x:v>
      </x:c>
      <x:c r="B53" s="6" t="str">
        <x:v>Sprint 2</x:v>
      </x:c>
      <x:c r="C53" s="6" t="str">
        <x:v>HU-035</x:v>
      </x:c>
      <x:c r="D53" s="6" t="str">
        <x:v>Verificar criterios de aceptación, permisos y casos negativos de HU-035.</x:v>
      </x:c>
      <x:c r="E53" s="6" t="str">
        <x:v>Franco Miranda</x:v>
      </x:c>
      <x:c r="F53" s="6" t="str">
        <x:v>SB2-044</x:v>
      </x:c>
      <x:c r="G53" s="6" t="str">
        <x:v>Casos ejecutados y evidencia vinculada; defectos clasificados; criterios del PBI verificados: Especialidades seleccionables; región y comuna válidas; experiencia editable; información guardada.</x:v>
      </x:c>
      <x:c r="H53" s="11" t="str">
        <x:v>Por verificar</x:v>
      </x:c>
      <x:c r="I53" s="12"/>
      <x:c r="J53" s="12"/>
      <x:c r="K53" s="13"/>
      <x:c r="L53" s="13"/>
      <x:c r="M53" s="11"/>
      <x:c r="N53" s="11"/>
      <x:c r="O53" s="11" t="str">
        <x:v>Pendiente de vincular</x:v>
      </x:c>
    </x:row>
    <x:row r="54" ht="38" customHeight="1">
      <x:c r="A54" s="10" t="str">
        <x:v>SB2-046</x:v>
      </x:c>
      <x:c r="B54" s="10" t="str">
        <x:v>Sprint 2</x:v>
      </x:c>
      <x:c r="C54" s="10" t="str">
        <x:v>HU-036</x:v>
      </x:c>
      <x:c r="D54" s="10" t="str">
        <x:v>Diseñar o ajustar interfaz y mensajes para maestros.</x:v>
      </x:c>
      <x:c r="E54" s="10" t="str">
        <x:v>Vicente Palma</x:v>
      </x:c>
      <x:c r="F54" s="10" t="str">
        <x:v>HU-034</x:v>
      </x:c>
      <x:c r="G54" s="10" t="str">
        <x:v>Vista o flujo revisado, campos y mensajes definidos y comportamiento móvil considerado.</x:v>
      </x:c>
      <x:c r="H54" s="11" t="str">
        <x:v>Por verificar</x:v>
      </x:c>
      <x:c r="I54" s="12"/>
      <x:c r="J54" s="12"/>
      <x:c r="K54" s="13"/>
      <x:c r="L54" s="13"/>
      <x:c r="M54" s="11"/>
      <x:c r="N54" s="11"/>
      <x:c r="O54" s="11" t="str">
        <x:v>Pendiente de vincular</x:v>
      </x:c>
    </x:row>
    <x:row r="55" ht="38" customHeight="1">
      <x:c r="A55" s="6" t="str">
        <x:v>SB2-047</x:v>
      </x:c>
      <x:c r="B55" s="6" t="str">
        <x:v>Sprint 2</x:v>
      </x:c>
      <x:c r="C55" s="6" t="str">
        <x:v>HU-036</x:v>
      </x:c>
      <x:c r="D55" s="6" t="str">
        <x:v>Implementar la función para publicar trabajos anteriores.</x:v>
      </x:c>
      <x:c r="E55" s="6" t="str">
        <x:v>Alonso Urrutia</x:v>
      </x:c>
      <x:c r="F55" s="6" t="str">
        <x:v>SB2-046</x:v>
      </x:c>
      <x:c r="G55" s="6" t="str">
        <x:v>Portafolio administrable; imágenes y descripción validadas; trabajos asociados al perfil; privacidad controlada.</x:v>
      </x:c>
      <x:c r="H55" s="11" t="str">
        <x:v>Por verificar</x:v>
      </x:c>
      <x:c r="I55" s="12"/>
      <x:c r="J55" s="12"/>
      <x:c r="K55" s="13"/>
      <x:c r="L55" s="13"/>
      <x:c r="M55" s="11"/>
      <x:c r="N55" s="11"/>
      <x:c r="O55" s="11" t="str">
        <x:v>Pendiente de vincular</x:v>
      </x:c>
    </x:row>
    <x:row r="56" ht="49" customHeight="1">
      <x:c r="A56" s="10" t="str">
        <x:v>SB2-048</x:v>
      </x:c>
      <x:c r="B56" s="10" t="str">
        <x:v>Sprint 2</x:v>
      </x:c>
      <x:c r="C56" s="10" t="str">
        <x:v>HU-036</x:v>
      </x:c>
      <x:c r="D56" s="10" t="str">
        <x:v>Verificar criterios de aceptación, permisos y casos negativos de HU-036.</x:v>
      </x:c>
      <x:c r="E56" s="10" t="str">
        <x:v>Franco Miranda</x:v>
      </x:c>
      <x:c r="F56" s="10" t="str">
        <x:v>SB2-047</x:v>
      </x:c>
      <x:c r="G56" s="10" t="str">
        <x:v>Casos ejecutados y evidencia vinculada; defectos clasificados; criterios del PBI verificados: Portafolio administrable; imágenes y descripción validadas; trabajos asociados al perfil; privacidad controlada.</x:v>
      </x:c>
      <x:c r="H56" s="11" t="str">
        <x:v>Por verificar</x:v>
      </x:c>
      <x:c r="I56" s="12"/>
      <x:c r="J56" s="12"/>
      <x:c r="K56" s="13"/>
      <x:c r="L56" s="13"/>
      <x:c r="M56" s="11"/>
      <x:c r="N56" s="11"/>
      <x:c r="O56" s="11" t="str">
        <x:v>Pendiente de vincular</x:v>
      </x:c>
    </x:row>
    <x:row r="57" ht="38" customHeight="1">
      <x:c r="A57" s="6" t="str">
        <x:v>SB2-049</x:v>
      </x:c>
      <x:c r="B57" s="6" t="str">
        <x:v>Sprint 2</x:v>
      </x:c>
      <x:c r="C57" s="6" t="str">
        <x:v>HU-037</x:v>
      </x:c>
      <x:c r="D57" s="6" t="str">
        <x:v>Implementar la función para aprobar o rechazar perfiles.</x:v>
      </x:c>
      <x:c r="E57" s="6" t="str">
        <x:v>Alonso Urrutia</x:v>
      </x:c>
      <x:c r="F57" s="6" t="str">
        <x:v>HU-034, HU-035</x:v>
      </x:c>
      <x:c r="G57" s="6" t="str">
        <x:v>Panel de revisión; aprobación y rechazo registrados; solo aprobados visibles; directorio público disponible.</x:v>
      </x:c>
      <x:c r="H57" s="11" t="str">
        <x:v>Por verificar</x:v>
      </x:c>
      <x:c r="I57" s="12"/>
      <x:c r="J57" s="12"/>
      <x:c r="K57" s="13"/>
      <x:c r="L57" s="13"/>
      <x:c r="M57" s="11"/>
      <x:c r="N57" s="11"/>
      <x:c r="O57" s="11" t="str">
        <x:v>Pendiente de vincular</x:v>
      </x:c>
    </x:row>
    <x:row r="58" ht="49" customHeight="1">
      <x:c r="A58" s="10" t="str">
        <x:v>SB2-050</x:v>
      </x:c>
      <x:c r="B58" s="10" t="str">
        <x:v>Sprint 2</x:v>
      </x:c>
      <x:c r="C58" s="10" t="str">
        <x:v>HU-037</x:v>
      </x:c>
      <x:c r="D58" s="10" t="str">
        <x:v>Verificar criterios de aceptación, permisos y casos negativos de HU-037.</x:v>
      </x:c>
      <x:c r="E58" s="10" t="str">
        <x:v>Franco Miranda</x:v>
      </x:c>
      <x:c r="F58" s="10" t="str">
        <x:v>SB2-049</x:v>
      </x:c>
      <x:c r="G58" s="10" t="str">
        <x:v>Casos ejecutados y evidencia vinculada; defectos clasificados; criterios del PBI verificados: Panel de revisión; aprobación y rechazo registrados; solo aprobados visibles; directorio público disponible.</x:v>
      </x:c>
      <x:c r="H58" s="11" t="str">
        <x:v>Por verificar</x:v>
      </x:c>
      <x:c r="I58" s="12"/>
      <x:c r="J58" s="12"/>
      <x:c r="K58" s="13"/>
      <x:c r="L58" s="13"/>
      <x:c r="M58" s="11"/>
      <x:c r="N58" s="11"/>
      <x:c r="O58" s="11" t="str">
        <x:v>Pendiente de vincular</x:v>
      </x:c>
    </x:row>
    <x:row r="59" ht="49" customHeight="1">
      <x:c r="A59" s="6" t="str">
        <x:v>SB2-051</x:v>
      </x:c>
      <x:c r="B59" s="6" t="str">
        <x:v>Sprint 2</x:v>
      </x:c>
      <x:c r="C59" s="6" t="str">
        <x:v>HU-038</x:v>
      </x:c>
      <x:c r="D59" s="6" t="str">
        <x:v>Implementar la función para consultar y actualizar su información mediante servicios seguros.</x:v>
      </x:c>
      <x:c r="E59" s="6" t="str">
        <x:v>Alonso Urrutia</x:v>
      </x:c>
      <x:c r="F59" s="6" t="str">
        <x:v>HU-034</x:v>
      </x:c>
      <x:c r="G59" s="6" t="str">
        <x:v>API privada autenticada; el maestro consulta y actualiza solo su perfil; sesión y CSRF activos; cambios sensibles devuelven el perfil a revisión.</x:v>
      </x:c>
      <x:c r="H59" s="11" t="str">
        <x:v>Por verificar</x:v>
      </x:c>
      <x:c r="I59" s="12"/>
      <x:c r="J59" s="12"/>
      <x:c r="K59" s="13"/>
      <x:c r="L59" s="13"/>
      <x:c r="M59" s="11"/>
      <x:c r="N59" s="11"/>
      <x:c r="O59" s="11" t="str">
        <x:v>Pendiente de vincular</x:v>
      </x:c>
    </x:row>
    <x:row r="60" ht="62" customHeight="1">
      <x:c r="A60" s="10" t="str">
        <x:v>SB2-052</x:v>
      </x:c>
      <x:c r="B60" s="10" t="str">
        <x:v>Sprint 2</x:v>
      </x:c>
      <x:c r="C60" s="10" t="str">
        <x:v>HU-038</x:v>
      </x:c>
      <x:c r="D60" s="10" t="str">
        <x:v>Verificar criterios de aceptación, permisos y casos negativos de HU-038.</x:v>
      </x:c>
      <x:c r="E60" s="10" t="str">
        <x:v>Franco Miranda</x:v>
      </x:c>
      <x:c r="F60" s="10" t="str">
        <x:v>SB2-051</x:v>
      </x:c>
      <x:c r="G60" s="10" t="str">
        <x:v>Casos ejecutados y evidencia vinculada; defectos clasificados; criterios del PBI verificados: API privada autenticada; el maestro consulta y actualiza solo su perfil; sesión y CSRF activos; cambios sensibles devuelven el perfil a revisión.</x:v>
      </x:c>
      <x:c r="H60" s="11" t="str">
        <x:v>Por verificar</x:v>
      </x:c>
      <x:c r="I60" s="12"/>
      <x:c r="J60" s="12"/>
      <x:c r="K60" s="13"/>
      <x:c r="L60" s="13"/>
      <x:c r="M60" s="11"/>
      <x:c r="N60" s="11"/>
      <x:c r="O60" s="11" t="str">
        <x:v>Pendiente de vincular</x:v>
      </x:c>
    </x:row>
    <x:row r="61" ht="49" customHeight="1">
      <x:c r="A61" s="6" t="str">
        <x:v>SB2-053</x:v>
      </x:c>
      <x:c r="B61" s="6" t="str">
        <x:v>Sprint 2</x:v>
      </x:c>
      <x:c r="C61" s="6" t="str">
        <x:v>HU-039</x:v>
      </x:c>
      <x:c r="D61" s="6" t="str">
        <x:v>Implementar la función para gestionar perfiles y como cliente consultar maestros aprobados mediante servicios diferenciados.</x:v>
      </x:c>
      <x:c r="E61" s="6" t="str">
        <x:v>Alonso Urrutia</x:v>
      </x:c>
      <x:c r="F61" s="6" t="str">
        <x:v>HU-037</x:v>
      </x:c>
      <x:c r="G61" s="6" t="str">
        <x:v>Administración puede aprobar, rechazar o suspender; la API pública muestra solo perfiles aprobados y datos profesionales autorizados.</x:v>
      </x:c>
      <x:c r="H61" s="11" t="str">
        <x:v>Por verificar</x:v>
      </x:c>
      <x:c r="I61" s="12"/>
      <x:c r="J61" s="12"/>
      <x:c r="K61" s="13"/>
      <x:c r="L61" s="13"/>
      <x:c r="M61" s="11"/>
      <x:c r="N61" s="11"/>
      <x:c r="O61" s="11" t="str">
        <x:v>Pendiente de vincular</x:v>
      </x:c>
    </x:row>
    <x:row r="62" ht="62" customHeight="1">
      <x:c r="A62" s="10" t="str">
        <x:v>SB2-054</x:v>
      </x:c>
      <x:c r="B62" s="10" t="str">
        <x:v>Sprint 2</x:v>
      </x:c>
      <x:c r="C62" s="10" t="str">
        <x:v>HU-039</x:v>
      </x:c>
      <x:c r="D62" s="10" t="str">
        <x:v>Verificar criterios de aceptación, permisos y casos negativos de HU-039.</x:v>
      </x:c>
      <x:c r="E62" s="10" t="str">
        <x:v>Franco Miranda</x:v>
      </x:c>
      <x:c r="F62" s="10" t="str">
        <x:v>SB2-053</x:v>
      </x:c>
      <x:c r="G62" s="10" t="str">
        <x:v>Casos ejecutados y evidencia vinculada; defectos clasificados; criterios del PBI verificados: Administración puede aprobar, rechazar o suspender; la API pública muestra solo perfiles aprobados y datos profesionales autorizados.</x:v>
      </x:c>
      <x:c r="H62" s="11" t="str">
        <x:v>Por verificar</x:v>
      </x:c>
      <x:c r="I62" s="12"/>
      <x:c r="J62" s="12"/>
      <x:c r="K62" s="13"/>
      <x:c r="L62" s="13"/>
      <x:c r="M62" s="11"/>
      <x:c r="N62" s="11"/>
      <x:c r="O62" s="11" t="str">
        <x:v>Pendiente de vincular</x:v>
      </x:c>
    </x:row>
    <x:row r="63" ht="49" customHeight="1">
      <x:c r="A63" s="6" t="str">
        <x:v>SB2-055</x:v>
      </x:c>
      <x:c r="B63" s="6" t="str">
        <x:v>Sprint 2</x:v>
      </x:c>
      <x:c r="C63" s="6" t="str">
        <x:v>HU-040</x:v>
      </x:c>
      <x:c r="D63" s="6" t="str">
        <x:v>Implementar la función para que la información privada de los maestros esté protegida.</x:v>
      </x:c>
      <x:c r="E63" s="6" t="str">
        <x:v>Alonso Urrutia</x:v>
      </x:c>
      <x:c r="F63" s="6" t="str">
        <x:v>HU-038, HU-039</x:v>
      </x:c>
      <x:c r="G63" s="6" t="str">
        <x:v>No se exponen RUT, correo, teléfono ni observaciones; se impide consultar o modificar objetos de otro usuario; permisos verificados en servidor.</x:v>
      </x:c>
      <x:c r="H63" s="11" t="str">
        <x:v>Por verificar</x:v>
      </x:c>
      <x:c r="I63" s="12"/>
      <x:c r="J63" s="12"/>
      <x:c r="K63" s="13"/>
      <x:c r="L63" s="13"/>
      <x:c r="M63" s="11"/>
      <x:c r="N63" s="11"/>
      <x:c r="O63" s="11" t="str">
        <x:v>Pendiente de vincular</x:v>
      </x:c>
    </x:row>
    <x:row r="64" ht="62" customHeight="1">
      <x:c r="A64" s="10" t="str">
        <x:v>SB2-056</x:v>
      </x:c>
      <x:c r="B64" s="10" t="str">
        <x:v>Sprint 2</x:v>
      </x:c>
      <x:c r="C64" s="10" t="str">
        <x:v>HU-040</x:v>
      </x:c>
      <x:c r="D64" s="10" t="str">
        <x:v>Verificar criterios de aceptación, permisos y casos negativos de HU-040.</x:v>
      </x:c>
      <x:c r="E64" s="10" t="str">
        <x:v>Franco Miranda</x:v>
      </x:c>
      <x:c r="F64" s="10" t="str">
        <x:v>SB2-055</x:v>
      </x:c>
      <x:c r="G64" s="10" t="str">
        <x:v>Casos ejecutados y evidencia vinculada; defectos clasificados; criterios del PBI verificados: No se exponen RUT, correo, teléfono ni observaciones; se impide consultar o modificar objetos de otro usuario; permisos verificados en servidor.</x:v>
      </x:c>
      <x:c r="H64" s="11" t="str">
        <x:v>Por verificar</x:v>
      </x:c>
      <x:c r="I64" s="12"/>
      <x:c r="J64" s="12"/>
      <x:c r="K64" s="13"/>
      <x:c r="L64" s="13"/>
      <x:c r="M64" s="11"/>
      <x:c r="N64" s="11"/>
      <x:c r="O64" s="11" t="str">
        <x:v>Pendiente de vincular</x:v>
      </x:c>
    </x:row>
    <x:row r="65" ht="49" customHeight="1">
      <x:c r="A65" s="6" t="str">
        <x:v>SB2-057</x:v>
      </x:c>
      <x:c r="B65" s="6" t="str">
        <x:v>Sprint 2</x:v>
      </x:c>
      <x:c r="C65" s="6" t="str">
        <x:v>TA-007</x:v>
      </x:c>
      <x:c r="D65" s="6" t="str">
        <x:v>Integrar y verificar perfiles de maestros, vistas, APIs públicas y privadas, permisos y regresión dentro del Sprint 2.</x:v>
      </x:c>
      <x:c r="E65" s="6" t="str">
        <x:v>Alonso Urrutia / Franco Miranda</x:v>
      </x:c>
      <x:c r="F65" s="6" t="str">
        <x:v>HU-001 a HU-040</x:v>
      </x:c>
      <x:c r="G65" s="6" t="str">
        <x:v>Vistas y APIs coexisten; flujos principales integrados; pruebas de propiedad, permisos, visibilidad y validaciones disponibles; sin defecto crítico conocido.</x:v>
      </x:c>
      <x:c r="H65" s="11" t="str">
        <x:v>Por verificar</x:v>
      </x:c>
      <x:c r="I65" s="12"/>
      <x:c r="J65" s="12"/>
      <x:c r="K65" s="13"/>
      <x:c r="L65" s="13"/>
      <x:c r="M65" s="11"/>
      <x:c r="N65" s="11"/>
      <x:c r="O65" s="11" t="str">
        <x:v>Pendiente de vincular</x:v>
      </x:c>
    </x:row>
    <x:row r="66" ht="38" customHeight="1">
      <x:c r="A66" s="10" t="str">
        <x:v>SB2-058</x:v>
      </x:c>
      <x:c r="B66" s="10" t="str">
        <x:v>Sprint 2</x:v>
      </x:c>
      <x:c r="C66" s="10" t="str">
        <x:v>HU-041</x:v>
      </x:c>
      <x:c r="D66" s="10" t="str">
        <x:v>Diseñar o ajustar interfaz y mensajes para promoción y contacto de maestros.</x:v>
      </x:c>
      <x:c r="E66" s="10" t="str">
        <x:v>Vicente Palma</x:v>
      </x:c>
      <x:c r="F66" s="10" t="str">
        <x:v>HU-037</x:v>
      </x:c>
      <x:c r="G66" s="10" t="str">
        <x:v>Vista o flujo revisado, campos y mensajes definidos y comportamiento móvil considerado.</x:v>
      </x:c>
      <x:c r="H66" s="11" t="str">
        <x:v>Pendiente</x:v>
      </x:c>
      <x:c r="I66" s="12"/>
      <x:c r="J66" s="12"/>
      <x:c r="K66" s="13"/>
      <x:c r="L66" s="13"/>
      <x:c r="M66" s="11"/>
      <x:c r="N66" s="11"/>
      <x:c r="O66" s="11" t="str">
        <x:v>Pendiente de vincular</x:v>
      </x:c>
    </x:row>
    <x:row r="67" ht="38" customHeight="1">
      <x:c r="A67" s="6" t="str">
        <x:v>SB2-059</x:v>
      </x:c>
      <x:c r="B67" s="6" t="str">
        <x:v>Sprint 2</x:v>
      </x:c>
      <x:c r="C67" s="6" t="str">
        <x:v>HU-041</x:v>
      </x:c>
      <x:c r="D67" s="6" t="str">
        <x:v>Implementar la función para consultar los medios de contacto de un maestro aprobado.</x:v>
      </x:c>
      <x:c r="E67" s="6" t="str">
        <x:v>Alonso Urrutia</x:v>
      </x:c>
      <x:c r="F67" s="6" t="str">
        <x:v>SB2-058</x:v>
      </x:c>
      <x:c r="G67" s="6" t="str">
        <x:v>Perfil aprobado visible; contacto público autorizado; aviso de negociación externa; perfiles rechazados ocultos.</x:v>
      </x:c>
      <x:c r="H67" s="11" t="str">
        <x:v>Pendiente</x:v>
      </x:c>
      <x:c r="I67" s="12"/>
      <x:c r="J67" s="12"/>
      <x:c r="K67" s="13"/>
      <x:c r="L67" s="13"/>
      <x:c r="M67" s="11"/>
      <x:c r="N67" s="11"/>
      <x:c r="O67" s="11" t="str">
        <x:v>Pendiente de vincular</x:v>
      </x:c>
    </x:row>
    <x:row r="68" ht="49" customHeight="1">
      <x:c r="A68" s="10" t="str">
        <x:v>SB2-060</x:v>
      </x:c>
      <x:c r="B68" s="10" t="str">
        <x:v>Sprint 2</x:v>
      </x:c>
      <x:c r="C68" s="10" t="str">
        <x:v>HU-041</x:v>
      </x:c>
      <x:c r="D68" s="10" t="str">
        <x:v>Verificar criterios de aceptación, permisos y casos negativos de HU-041.</x:v>
      </x:c>
      <x:c r="E68" s="10" t="str">
        <x:v>Franco Miranda</x:v>
      </x:c>
      <x:c r="F68" s="10" t="str">
        <x:v>SB2-059</x:v>
      </x:c>
      <x:c r="G68" s="10" t="str">
        <x:v>Casos ejecutados y evidencia vinculada; defectos clasificados; criterios del PBI verificados: Perfil aprobado visible; contacto público autorizado; aviso de negociación externa; perfiles rechazados ocultos.</x:v>
      </x:c>
      <x:c r="H68" s="11" t="str">
        <x:v>Pendiente</x:v>
      </x:c>
      <x:c r="I68" s="12"/>
      <x:c r="J68" s="12"/>
      <x:c r="K68" s="13"/>
      <x:c r="L68" s="13"/>
      <x:c r="M68" s="11"/>
      <x:c r="N68" s="11"/>
      <x:c r="O68" s="11" t="str">
        <x:v>Pendiente de vincular</x:v>
      </x:c>
    </x:row>
    <x:row r="69" ht="38" customHeight="1">
      <x:c r="A69" s="6" t="str">
        <x:v>SB2-061</x:v>
      </x:c>
      <x:c r="B69" s="6" t="str">
        <x:v>Sprint 2</x:v>
      </x:c>
      <x:c r="C69" s="6" t="str">
        <x:v>HU-042</x:v>
      </x:c>
      <x:c r="D69" s="6" t="str">
        <x:v>Diseñar o ajustar interfaz y mensajes para promoción y contacto de maestros.</x:v>
      </x:c>
      <x:c r="E69" s="6" t="str">
        <x:v>Vicente Palma</x:v>
      </x:c>
      <x:c r="F69" s="6" t="str">
        <x:v>HU-041</x:v>
      </x:c>
      <x:c r="G69" s="6" t="str">
        <x:v>Vista o flujo revisado, campos y mensajes definidos y comportamiento móvil considerado.</x:v>
      </x:c>
      <x:c r="H69" s="11" t="str">
        <x:v>Pendiente</x:v>
      </x:c>
      <x:c r="I69" s="12"/>
      <x:c r="J69" s="12"/>
      <x:c r="K69" s="13"/>
      <x:c r="L69" s="13"/>
      <x:c r="M69" s="11"/>
      <x:c r="N69" s="11"/>
      <x:c r="O69" s="11" t="str">
        <x:v>Pendiente de vincular</x:v>
      </x:c>
    </x:row>
    <x:row r="70" ht="38" customHeight="1">
      <x:c r="A70" s="10" t="str">
        <x:v>SB2-062</x:v>
      </x:c>
      <x:c r="B70" s="10" t="str">
        <x:v>Sprint 2</x:v>
      </x:c>
      <x:c r="C70" s="10" t="str">
        <x:v>HU-042</x:v>
      </x:c>
      <x:c r="D70" s="10" t="str">
        <x:v>Implementar la función para publicar una descripción de sus servicios.</x:v>
      </x:c>
      <x:c r="E70" s="10" t="str">
        <x:v>Alonso Urrutia</x:v>
      </x:c>
      <x:c r="F70" s="10" t="str">
        <x:v>SB2-061</x:v>
      </x:c>
      <x:c r="G70" s="10" t="str">
        <x:v>Descripción editable por su propietario; datos validados; publicación sujeta a aprobación; sin cotización contractual dentro de SFI.</x:v>
      </x:c>
      <x:c r="H70" s="11" t="str">
        <x:v>Pendiente</x:v>
      </x:c>
      <x:c r="I70" s="12"/>
      <x:c r="J70" s="12"/>
      <x:c r="K70" s="13"/>
      <x:c r="L70" s="13"/>
      <x:c r="M70" s="11"/>
      <x:c r="N70" s="11"/>
      <x:c r="O70" s="11" t="str">
        <x:v>Pendiente de vincular</x:v>
      </x:c>
    </x:row>
    <x:row r="71" ht="62" customHeight="1">
      <x:c r="A71" s="6" t="str">
        <x:v>SB2-063</x:v>
      </x:c>
      <x:c r="B71" s="6" t="str">
        <x:v>Sprint 2</x:v>
      </x:c>
      <x:c r="C71" s="6" t="str">
        <x:v>HU-042</x:v>
      </x:c>
      <x:c r="D71" s="6" t="str">
        <x:v>Verificar criterios de aceptación, permisos y casos negativos de HU-042.</x:v>
      </x:c>
      <x:c r="E71" s="6" t="str">
        <x:v>Franco Miranda</x:v>
      </x:c>
      <x:c r="F71" s="6" t="str">
        <x:v>SB2-062</x:v>
      </x:c>
      <x:c r="G71" s="6" t="str">
        <x:v>Casos ejecutados y evidencia vinculada; defectos clasificados; criterios del PBI verificados: Descripción editable por su propietario; datos validados; publicación sujeta a aprobación; sin cotización contractual dentro de SFI.</x:v>
      </x:c>
      <x:c r="H71" s="11" t="str">
        <x:v>Pendiente</x:v>
      </x:c>
      <x:c r="I71" s="12"/>
      <x:c r="J71" s="12"/>
      <x:c r="K71" s="13"/>
      <x:c r="L71" s="13"/>
      <x:c r="M71" s="11"/>
      <x:c r="N71" s="11"/>
      <x:c r="O71" s="11" t="str">
        <x:v>Pendiente de vincular</x:v>
      </x:c>
    </x:row>
    <x:row r="72" ht="38" customHeight="1">
      <x:c r="A72" s="10" t="str">
        <x:v>SB2-064</x:v>
      </x:c>
      <x:c r="B72" s="10" t="str">
        <x:v>Sprint 2</x:v>
      </x:c>
      <x:c r="C72" s="10" t="str">
        <x:v>HU-043</x:v>
      </x:c>
      <x:c r="D72" s="10" t="str">
        <x:v>Diseñar o ajustar interfaz y mensajes para promoción y contacto de maestros.</x:v>
      </x:c>
      <x:c r="E72" s="10" t="str">
        <x:v>Vicente Palma</x:v>
      </x:c>
      <x:c r="F72" s="10" t="str">
        <x:v>HU-041</x:v>
      </x:c>
      <x:c r="G72" s="10" t="str">
        <x:v>Vista o flujo revisado, campos y mensajes definidos y comportamiento móvil considerado.</x:v>
      </x:c>
      <x:c r="H72" s="11" t="str">
        <x:v>Pendiente</x:v>
      </x:c>
      <x:c r="I72" s="12"/>
      <x:c r="J72" s="12"/>
      <x:c r="K72" s="13"/>
      <x:c r="L72" s="13"/>
      <x:c r="M72" s="11"/>
      <x:c r="N72" s="11"/>
      <x:c r="O72" s="11" t="str">
        <x:v>Pendiente de vincular</x:v>
      </x:c>
    </x:row>
    <x:row r="73" ht="38" customHeight="1">
      <x:c r="A73" s="6" t="str">
        <x:v>SB2-065</x:v>
      </x:c>
      <x:c r="B73" s="6" t="str">
        <x:v>Sprint 2</x:v>
      </x:c>
      <x:c r="C73" s="6" t="str">
        <x:v>HU-043</x:v>
      </x:c>
      <x:c r="D73" s="6" t="str">
        <x:v>Implementar la función para indicar su disponibilidad general de contacto.</x:v>
      </x:c>
      <x:c r="E73" s="6" t="str">
        <x:v>Alonso Urrutia</x:v>
      </x:c>
      <x:c r="F73" s="6" t="str">
        <x:v>SB2-064</x:v>
      </x:c>
      <x:c r="G73" s="6" t="str">
        <x:v>Disponibilidad informativa editable; visible en perfil aprobado; aviso de que no constituye reserva de obra.</x:v>
      </x:c>
      <x:c r="H73" s="11" t="str">
        <x:v>Pendiente</x:v>
      </x:c>
      <x:c r="I73" s="12"/>
      <x:c r="J73" s="12"/>
      <x:c r="K73" s="13"/>
      <x:c r="L73" s="13"/>
      <x:c r="M73" s="11"/>
      <x:c r="N73" s="11"/>
      <x:c r="O73" s="11" t="str">
        <x:v>Pendiente de vincular</x:v>
      </x:c>
    </x:row>
    <x:row r="74" ht="49" customHeight="1">
      <x:c r="A74" s="10" t="str">
        <x:v>SB2-066</x:v>
      </x:c>
      <x:c r="B74" s="10" t="str">
        <x:v>Sprint 2</x:v>
      </x:c>
      <x:c r="C74" s="10" t="str">
        <x:v>HU-043</x:v>
      </x:c>
      <x:c r="D74" s="10" t="str">
        <x:v>Verificar criterios de aceptación, permisos y casos negativos de HU-043.</x:v>
      </x:c>
      <x:c r="E74" s="10" t="str">
        <x:v>Franco Miranda</x:v>
      </x:c>
      <x:c r="F74" s="10" t="str">
        <x:v>SB2-065</x:v>
      </x:c>
      <x:c r="G74" s="10" t="str">
        <x:v>Casos ejecutados y evidencia vinculada; defectos clasificados; criterios del PBI verificados: Disponibilidad informativa editable; visible en perfil aprobado; aviso de que no constituye reserva de obra.</x:v>
      </x:c>
      <x:c r="H74" s="11" t="str">
        <x:v>Pendiente</x:v>
      </x:c>
      <x:c r="I74" s="12"/>
      <x:c r="J74" s="12"/>
      <x:c r="K74" s="13"/>
      <x:c r="L74" s="13"/>
      <x:c r="M74" s="11"/>
      <x:c r="N74" s="11"/>
      <x:c r="O74" s="11" t="str">
        <x:v>Pendiente de vincular</x:v>
      </x:c>
    </x:row>
    <x:row r="75" ht="38" customHeight="1">
      <x:c r="A75" s="6" t="str">
        <x:v>SB2-067</x:v>
      </x:c>
      <x:c r="B75" s="6" t="str">
        <x:v>Sprint 2</x:v>
      </x:c>
      <x:c r="C75" s="6" t="str">
        <x:v>HU-044</x:v>
      </x:c>
      <x:c r="D75" s="6" t="str">
        <x:v>Diseñar o ajustar interfaz y mensajes para promoción y contacto de maestros.</x:v>
      </x:c>
      <x:c r="E75" s="6" t="str">
        <x:v>Vicente Palma</x:v>
      </x:c>
      <x:c r="F75" s="6" t="str">
        <x:v>HU-041, HU-042</x:v>
      </x:c>
      <x:c r="G75" s="6" t="str">
        <x:v>Vista o flujo revisado, campos y mensajes definidos y comportamiento móvil considerado.</x:v>
      </x:c>
      <x:c r="H75" s="11" t="str">
        <x:v>Pendiente</x:v>
      </x:c>
      <x:c r="I75" s="12"/>
      <x:c r="J75" s="12"/>
      <x:c r="K75" s="13"/>
      <x:c r="L75" s="13"/>
      <x:c r="M75" s="11"/>
      <x:c r="N75" s="11"/>
      <x:c r="O75" s="11" t="str">
        <x:v>Pendiente de vincular</x:v>
      </x:c>
    </x:row>
    <x:row r="76" ht="38" customHeight="1">
      <x:c r="A76" s="10" t="str">
        <x:v>SB2-068</x:v>
      </x:c>
      <x:c r="B76" s="10" t="str">
        <x:v>Sprint 2</x:v>
      </x:c>
      <x:c r="C76" s="10" t="str">
        <x:v>HU-044</x:v>
      </x:c>
      <x:c r="D76" s="10" t="str">
        <x:v>Implementar la función para conocer el alcance del directorio de maestros.</x:v>
      </x:c>
      <x:c r="E76" s="10" t="str">
        <x:v>Alonso Urrutia</x:v>
      </x:c>
      <x:c r="F76" s="10" t="str">
        <x:v>SB2-067</x:v>
      </x:c>
      <x:c r="G76" s="10" t="str">
        <x:v>Aviso visible antes del contacto; negociación y ejecución externas; sin seguimiento contractual de obras en la plataforma.</x:v>
      </x:c>
      <x:c r="H76" s="11" t="str">
        <x:v>Pendiente</x:v>
      </x:c>
      <x:c r="I76" s="12"/>
      <x:c r="J76" s="12"/>
      <x:c r="K76" s="13"/>
      <x:c r="L76" s="13"/>
      <x:c r="M76" s="11"/>
      <x:c r="N76" s="11"/>
      <x:c r="O76" s="11" t="str">
        <x:v>Pendiente de vincular</x:v>
      </x:c>
    </x:row>
    <x:row r="77" ht="62" customHeight="1">
      <x:c r="A77" s="6" t="str">
        <x:v>SB2-069</x:v>
      </x:c>
      <x:c r="B77" s="6" t="str">
        <x:v>Sprint 2</x:v>
      </x:c>
      <x:c r="C77" s="6" t="str">
        <x:v>HU-044</x:v>
      </x:c>
      <x:c r="D77" s="6" t="str">
        <x:v>Verificar criterios de aceptación, permisos y casos negativos de HU-044.</x:v>
      </x:c>
      <x:c r="E77" s="6" t="str">
        <x:v>Franco Miranda</x:v>
      </x:c>
      <x:c r="F77" s="6" t="str">
        <x:v>SB2-068</x:v>
      </x:c>
      <x:c r="G77" s="6" t="str">
        <x:v>Casos ejecutados y evidencia vinculada; defectos clasificados; criterios del PBI verificados: Aviso visible antes del contacto; negociación y ejecución externas; sin seguimiento contractual de obras en la plataforma.</x:v>
      </x:c>
      <x:c r="H77" s="11" t="str">
        <x:v>Pendiente</x:v>
      </x:c>
      <x:c r="I77" s="12"/>
      <x:c r="J77" s="12"/>
      <x:c r="K77" s="13"/>
      <x:c r="L77" s="13"/>
      <x:c r="M77" s="11"/>
      <x:c r="N77" s="11"/>
      <x:c r="O77" s="11" t="str">
        <x:v>Pendiente de vincular</x:v>
      </x:c>
    </x:row>
    <x:row r="78" ht="38" customHeight="1">
      <x:c r="A78" s="10" t="str">
        <x:v>SB2-070</x:v>
      </x:c>
      <x:c r="B78" s="10" t="str">
        <x:v>Sprint 2</x:v>
      </x:c>
      <x:c r="C78" s="10" t="str">
        <x:v>TA-008</x:v>
      </x:c>
      <x:c r="D78" s="10" t="str">
        <x:v>Aplicar la identidad visual y configuración comercial de la empresa compradora.</x:v>
      </x:c>
      <x:c r="E78" s="10" t="str">
        <x:v>Vicente Palma / Alonso Urrutia</x:v>
      </x:c>
      <x:c r="F78" s="10" t="str">
        <x:v>TA-007</x:v>
      </x:c>
      <x:c r="G78" s="10" t="str">
        <x:v>Marca configurable; datos corporativos actualizados; reglas comerciales aplicadas; aprobación del cliente.</x:v>
      </x:c>
      <x:c r="H78" s="11" t="str">
        <x:v>Pendiente</x:v>
      </x:c>
      <x:c r="I78" s="12"/>
      <x:c r="J78" s="12"/>
      <x:c r="K78" s="13"/>
      <x:c r="L78" s="13"/>
      <x:c r="M78" s="11"/>
      <x:c r="N78" s="11"/>
      <x:c r="O78" s="11" t="str">
        <x:v>Pendiente de vincular</x:v>
      </x:c>
    </x:row>
    <x:row r="79" ht="38" customHeight="1">
      <x:c r="A79" s="6" t="str">
        <x:v>SB2-071</x:v>
      </x:c>
      <x:c r="B79" s="6" t="str">
        <x:v>Sprint 2</x:v>
      </x:c>
      <x:c r="C79" s="6" t="str">
        <x:v>TA-009</x:v>
      </x:c>
      <x:c r="D79" s="6" t="str">
        <x:v>Preparar y cargar el catálogo, precios, stock y datos iniciales entregados por la empresa.</x:v>
      </x:c>
      <x:c r="E79" s="6" t="str">
        <x:v>Alonso Urrutia</x:v>
      </x:c>
      <x:c r="F79" s="6" t="str">
        <x:v>TA-008</x:v>
      </x:c>
      <x:c r="G79" s="6" t="str">
        <x:v>Formato de carga validado; datos depurados; importación trazable; totales reconciliados.</x:v>
      </x:c>
      <x:c r="H79" s="11" t="str">
        <x:v>Pendiente</x:v>
      </x:c>
      <x:c r="I79" s="12"/>
      <x:c r="J79" s="12"/>
      <x:c r="K79" s="13"/>
      <x:c r="L79" s="13"/>
      <x:c r="M79" s="11"/>
      <x:c r="N79" s="11"/>
      <x:c r="O79" s="11" t="str">
        <x:v>Pendiente de vincular</x:v>
      </x:c>
    </x:row>
    <x:row r="80" ht="38" customHeight="1">
      <x:c r="A80" s="10" t="str">
        <x:v>SB2-072</x:v>
      </x:c>
      <x:c r="B80" s="10" t="str">
        <x:v>Sprint 2</x:v>
      </x:c>
      <x:c r="C80" s="10" t="str">
        <x:v>TA-010</x:v>
      </x:c>
      <x:c r="D80" s="10" t="str">
        <x:v>Integrar las fuentes empresariales acordadas para catálogo, stock o despacho.</x:v>
      </x:c>
      <x:c r="E80" s="10" t="str">
        <x:v>Alonso Urrutia</x:v>
      </x:c>
      <x:c r="F80" s="10" t="str">
        <x:v>TA-009</x:v>
      </x:c>
      <x:c r="G80" s="10" t="str">
        <x:v>Contrato de integración definido; autenticación segura; sincronización controlada; errores y reintentos registrados.</x:v>
      </x:c>
      <x:c r="H80" s="11" t="str">
        <x:v>Pendiente</x:v>
      </x:c>
      <x:c r="I80" s="12"/>
      <x:c r="J80" s="12"/>
      <x:c r="K80" s="13"/>
      <x:c r="L80" s="13"/>
      <x:c r="M80" s="11"/>
      <x:c r="N80" s="11"/>
      <x:c r="O80" s="11" t="str">
        <x:v>Pendiente de vincular</x:v>
      </x:c>
    </x:row>
    <x:row r="81" ht="38" customHeight="1">
      <x:c r="A81" s="6" t="str">
        <x:v>SB2-073</x:v>
      </x:c>
      <x:c r="B81" s="6" t="str">
        <x:v>Sprint 2</x:v>
      </x:c>
      <x:c r="C81" s="6" t="str">
        <x:v>HU-047</x:v>
      </x:c>
      <x:c r="D81" s="6" t="str">
        <x:v>Diseñar o ajustar interfaz y mensajes para créditos de maestros.</x:v>
      </x:c>
      <x:c r="E81" s="6" t="str">
        <x:v>Vicente Palma</x:v>
      </x:c>
      <x:c r="F81" s="6" t="str">
        <x:v>HU-004, HU-034</x:v>
      </x:c>
      <x:c r="G81" s="6" t="str">
        <x:v>Vista o flujo revisado, campos y mensajes definidos y comportamiento móvil considerado.</x:v>
      </x:c>
      <x:c r="H81" s="11" t="str">
        <x:v>Pendiente</x:v>
      </x:c>
      <x:c r="I81" s="12"/>
      <x:c r="J81" s="12"/>
      <x:c r="K81" s="13"/>
      <x:c r="L81" s="13"/>
      <x:c r="M81" s="11"/>
      <x:c r="N81" s="11"/>
      <x:c r="O81" s="11" t="str">
        <x:v>Pendiente de vincular</x:v>
      </x:c>
    </x:row>
    <x:row r="82" ht="38" customHeight="1">
      <x:c r="A82" s="10" t="str">
        <x:v>SB2-074</x:v>
      </x:c>
      <x:c r="B82" s="10" t="str">
        <x:v>Sprint 2</x:v>
      </x:c>
      <x:c r="C82" s="10" t="str">
        <x:v>HU-047</x:v>
      </x:c>
      <x:c r="D82" s="10" t="str">
        <x:v>Implementar la función para gestionar el cupo comercial de maestros.</x:v>
      </x:c>
      <x:c r="E82" s="10" t="str">
        <x:v>Alonso Urrutia</x:v>
      </x:c>
      <x:c r="F82" s="10" t="str">
        <x:v>SB2-073</x:v>
      </x:c>
      <x:c r="G82" s="10" t="str">
        <x:v>Cupo y saldo visibles solo a autorizados; bloqueo de sobregiro; cambios auditables; reglas de aprobación y crecimiento parametrizadas.</x:v>
      </x:c>
      <x:c r="H82" s="11" t="str">
        <x:v>Pendiente</x:v>
      </x:c>
      <x:c r="I82" s="12"/>
      <x:c r="J82" s="12"/>
      <x:c r="K82" s="13"/>
      <x:c r="L82" s="13"/>
      <x:c r="M82" s="11"/>
      <x:c r="N82" s="11"/>
      <x:c r="O82" s="11" t="str">
        <x:v>Pendiente de vincular</x:v>
      </x:c>
    </x:row>
    <x:row r="83" ht="62" customHeight="1">
      <x:c r="A83" s="6" t="str">
        <x:v>SB2-075</x:v>
      </x:c>
      <x:c r="B83" s="6" t="str">
        <x:v>Sprint 2</x:v>
      </x:c>
      <x:c r="C83" s="6" t="str">
        <x:v>HU-047</x:v>
      </x:c>
      <x:c r="D83" s="6" t="str">
        <x:v>Verificar criterios de aceptación, permisos y casos negativos de HU-047.</x:v>
      </x:c>
      <x:c r="E83" s="6" t="str">
        <x:v>Franco Miranda</x:v>
      </x:c>
      <x:c r="F83" s="6" t="str">
        <x:v>SB2-074</x:v>
      </x:c>
      <x:c r="G83" s="6" t="str">
        <x:v>Casos ejecutados y evidencia vinculada; defectos clasificados; criterios del PBI verificados: Cupo y saldo visibles solo a autorizados; bloqueo de sobregiro; cambios auditables; reglas de aprobación y crecimiento parametrizadas.</x:v>
      </x:c>
      <x:c r="H83" s="11" t="str">
        <x:v>Pendiente</x:v>
      </x:c>
      <x:c r="I83" s="12"/>
      <x:c r="J83" s="12"/>
      <x:c r="K83" s="13"/>
      <x:c r="L83" s="13"/>
      <x:c r="M83" s="11"/>
      <x:c r="N83" s="11"/>
      <x:c r="O83" s="11" t="str">
        <x:v>Pendiente de vincular</x:v>
      </x:c>
    </x:row>
  </x:sheetData>
  <x:conditionalFormatting sqref="H9:H83">
    <x:cfRule type="containsText" dxfId="2" priority="1" operator="containsText" text="Terminado"/>
    <x:cfRule type="containsText" dxfId="3" priority="2" operator="containsText" text="Bloqueado"/>
  </x:conditionalFormatting>
  <x:dataValidations count="2">
    <x:dataValidation type="list" sqref="H9:H83">
      <x:formula1>"Por verificar,Pendiente,En progreso,Bloqueado,En revisión,Terminado"</x:formula1>
    </x:dataValidation>
    <x:dataValidation type="list" sqref="M9:M83">
      <x:formula1>"Sí,No,Parcial"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13c2392144b4"/>
  </x:tableParts>
</x:worksheet>
</file>

<file path=xl/worksheets/sheet3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15" hidden="0" customWidth="1"/>
    <x:col min="2" max="2" width="18" hidden="0" customWidth="1"/>
    <x:col min="3" max="3" width="21" hidden="0" customWidth="1"/>
    <x:col min="4" max="4" width="65" hidden="0" customWidth="1"/>
    <x:col min="5" max="5" width="34" hidden="0" customWidth="1"/>
    <x:col min="6" max="6" width="28" hidden="0" customWidth="1"/>
    <x:col min="7" max="7" width="75" hidden="0" customWidth="1"/>
    <x:col min="8" max="8" width="23" hidden="0" customWidth="1"/>
    <x:col min="9" max="9" width="18" hidden="0" customWidth="1"/>
    <x:col min="10" max="10" width="18" hidden="0" customWidth="1"/>
    <x:col min="11" max="11" width="19" hidden="0" customWidth="1"/>
    <x:col min="12" max="12" width="19" hidden="0" customWidth="1"/>
    <x:col min="13" max="13" width="18" hidden="0" customWidth="1"/>
    <x:col min="14" max="14" width="42" hidden="0" customWidth="1"/>
    <x:col min="15" max="15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3" t="str">
        <x:v>Sprint Backlog SFI  •  Sprint 3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Versión 2.0</x:v>
      </x:c>
      <x:c r="B3" s="2"/>
      <x:c r="C3" s="2"/>
      <x:c r="D3" s="4" t="d">
        <x:v>2026-10-03T12:00:00.000Z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 t="str">
        <x:v>Total tareas</x:v>
      </x:c>
      <x:c r="B5" s="2" t="n">
        <x:f>COUNTA(A9:A18)</x:f>
        <x:v>10</x:v>
      </x:c>
      <x:c r="C5" s="2" t="str">
        <x:v>Terminadas con DoD</x:v>
      </x:c>
      <x:c r="D5" s="2" t="n">
        <x:f>COUNTIFS(H9:H18,"Terminado",M9:M18,"Sí")</x:f>
        <x:v>0</x:v>
      </x:c>
      <x:c r="E5" s="2" t="str">
        <x:v>Bloqueadas</x:v>
      </x:c>
      <x:c r="F5" s="2" t="n">
        <x:f>COUNTIF(H9:H18,"Bloqueado")</x:f>
        <x:v>0</x:v>
      </x:c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5" t="str">
        <x:v>Objetivo: QA final, documentación, validación empresarial y entrega.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5" t="str">
        <x:v>Weekly los jueves. Actualizar horas, fechas, bloqueos y evidencia; las tareas nuevas requieren estimación.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36" customHeight="1">
      <x:c r="A8" s="9" t="str">
        <x:v>ID tarea</x:v>
      </x:c>
      <x:c r="B8" s="9" t="str">
        <x:v>Sprint</x:v>
      </x:c>
      <x:c r="C8" s="9" t="str">
        <x:v>PBI relacionado</x:v>
      </x:c>
      <x:c r="D8" s="9" t="str">
        <x:v>Tarea</x:v>
      </x:c>
      <x:c r="E8" s="9" t="str">
        <x:v>Responsable</x:v>
      </x:c>
      <x:c r="F8" s="9" t="str">
        <x:v>Dependencias</x:v>
      </x:c>
      <x:c r="G8" s="9" t="str">
        <x:v>Salida verificable</x:v>
      </x:c>
      <x:c r="H8" s="9" t="str">
        <x:v>Estado</x:v>
      </x:c>
      <x:c r="I8" s="9" t="str">
        <x:v>Estimación horas</x:v>
      </x:c>
      <x:c r="J8" s="9" t="str">
        <x:v>Horas restantes</x:v>
      </x:c>
      <x:c r="K8" s="9" t="str">
        <x:v>Fecha objetivo</x:v>
      </x:c>
      <x:c r="L8" s="9" t="str">
        <x:v>Fecha cierre</x:v>
      </x:c>
      <x:c r="M8" s="9" t="str">
        <x:v>Cumple DoD</x:v>
      </x:c>
      <x:c r="N8" s="9" t="str">
        <x:v>Bloqueo y acción</x:v>
      </x:c>
      <x:c r="O8" s="9" t="str">
        <x:v>Evidencia</x:v>
      </x:c>
    </x:row>
    <x:row r="9" ht="38" customHeight="1">
      <x:c r="A9" s="6" t="str">
        <x:v>SB3-001</x:v>
      </x:c>
      <x:c r="B9" s="6" t="str">
        <x:v>Sprint 3</x:v>
      </x:c>
      <x:c r="C9" s="6" t="str">
        <x:v>TA-011</x:v>
      </x:c>
      <x:c r="D9" s="6" t="str">
        <x:v>Fortalecer autenticación, autorización, privacidad y manejo seguro de configuraciones.</x:v>
      </x:c>
      <x:c r="E9" s="6" t="str">
        <x:v>Alonso Urrutia / Franco Miranda</x:v>
      </x:c>
      <x:c r="F9" s="6" t="str">
        <x:v>TA-007</x:v>
      </x:c>
      <x:c r="G9" s="6" t="str">
        <x:v>Secretos fuera del código; permisos auditados; entradas validadas; hallazgos críticos corregidos.</x:v>
      </x:c>
      <x:c r="H9" s="11" t="str">
        <x:v>Pendiente</x:v>
      </x:c>
      <x:c r="I9" s="12"/>
      <x:c r="J9" s="12"/>
      <x:c r="K9" s="13"/>
      <x:c r="L9" s="13"/>
      <x:c r="M9" s="11"/>
      <x:c r="N9" s="11"/>
      <x:c r="O9" s="11" t="str">
        <x:v>Pendiente de vincular</x:v>
      </x:c>
    </x:row>
    <x:row r="10" ht="38" customHeight="1">
      <x:c r="A10" s="10" t="str">
        <x:v>SB3-002</x:v>
      </x:c>
      <x:c r="B10" s="10" t="str">
        <x:v>Sprint 3</x:v>
      </x:c>
      <x:c r="C10" s="10" t="str">
        <x:v>TA-012</x:v>
      </x:c>
      <x:c r="D10" s="10" t="str">
        <x:v>Optimizar consultas y recorridos críticos para mantener tiempos de respuesta aceptables.</x:v>
      </x:c>
      <x:c r="E10" s="10" t="str">
        <x:v>Alonso Urrutia / Franco Miranda</x:v>
      </x:c>
      <x:c r="F10" s="10" t="str">
        <x:v>TA-007</x:v>
      </x:c>
      <x:c r="G10" s="10" t="str">
        <x:v>Consultas críticas medidas; cargas redundantes reducidas; páginas principales dentro del objetivo acordado.</x:v>
      </x:c>
      <x:c r="H10" s="11" t="str">
        <x:v>Pendiente</x:v>
      </x:c>
      <x:c r="I10" s="12"/>
      <x:c r="J10" s="12"/>
      <x:c r="K10" s="13"/>
      <x:c r="L10" s="13"/>
      <x:c r="M10" s="11"/>
      <x:c r="N10" s="11"/>
      <x:c r="O10" s="11" t="str">
        <x:v>Pendiente de vincular</x:v>
      </x:c>
    </x:row>
    <x:row r="11" ht="38" customHeight="1">
      <x:c r="A11" s="6" t="str">
        <x:v>SB3-003</x:v>
      </x:c>
      <x:c r="B11" s="6" t="str">
        <x:v>Sprint 3</x:v>
      </x:c>
      <x:c r="C11" s="6" t="str">
        <x:v>TA-013</x:v>
      </x:c>
      <x:c r="D11" s="6" t="str">
        <x:v>Ejecutar regresión integral y resolver defectos antes del piloto.</x:v>
      </x:c>
      <x:c r="E11" s="6" t="str">
        <x:v>Franco Miranda</x:v>
      </x:c>
      <x:c r="F11" s="6" t="str">
        <x:v>TA-011, TA-012</x:v>
      </x:c>
      <x:c r="G11" s="6" t="str">
        <x:v>Casos principales ejecutados; defectos clasificados; críticos cerrados; evidencia de resultados disponible.</x:v>
      </x:c>
      <x:c r="H11" s="11" t="str">
        <x:v>Pendiente</x:v>
      </x:c>
      <x:c r="I11" s="12"/>
      <x:c r="J11" s="12"/>
      <x:c r="K11" s="13"/>
      <x:c r="L11" s="13"/>
      <x:c r="M11" s="11"/>
      <x:c r="N11" s="11"/>
      <x:c r="O11" s="11" t="str">
        <x:v>Pendiente de vincular</x:v>
      </x:c>
    </x:row>
    <x:row r="12" ht="38" customHeight="1">
      <x:c r="A12" s="10" t="str">
        <x:v>SB3-004</x:v>
      </x:c>
      <x:c r="B12" s="10" t="str">
        <x:v>Sprint 3</x:v>
      </x:c>
      <x:c r="C12" s="10" t="str">
        <x:v>HU-045</x:v>
      </x:c>
      <x:c r="D12" s="10" t="str">
        <x:v>Preparar escenarios de aceptación y coordinar la validación con el representante del cliente.</x:v>
      </x:c>
      <x:c r="E12" s="10" t="str">
        <x:v>Felipe Chávez / Franco Miranda</x:v>
      </x:c>
      <x:c r="F12" s="10" t="str">
        <x:v>TA-013</x:v>
      </x:c>
      <x:c r="G12" s="10" t="str">
        <x:v>Casos UAT definidos, datos y participantes preparados para la sesión de aceptación.</x:v>
      </x:c>
      <x:c r="H12" s="11" t="str">
        <x:v>Pendiente</x:v>
      </x:c>
      <x:c r="I12" s="12"/>
      <x:c r="J12" s="12"/>
      <x:c r="K12" s="13"/>
      <x:c r="L12" s="13"/>
      <x:c r="M12" s="11"/>
      <x:c r="N12" s="11"/>
      <x:c r="O12" s="11" t="str">
        <x:v>Pendiente de vincular</x:v>
      </x:c>
    </x:row>
    <x:row r="13" ht="38" customHeight="1">
      <x:c r="A13" s="6" t="str">
        <x:v>SB3-005</x:v>
      </x:c>
      <x:c r="B13" s="6" t="str">
        <x:v>Sprint 3</x:v>
      </x:c>
      <x:c r="C13" s="6" t="str">
        <x:v>HU-045</x:v>
      </x:c>
      <x:c r="D13" s="6" t="str">
        <x:v>Ejecutar y registrar la validación de usuario del piloto.</x:v>
      </x:c>
      <x:c r="E13" s="6" t="str">
        <x:v>Franco Miranda / Felipe Chávez</x:v>
      </x:c>
      <x:c r="F13" s="6" t="str">
        <x:v>SB3-004</x:v>
      </x:c>
      <x:c r="G13" s="6" t="str">
        <x:v>Casos UAT definidos; usuarios piloto habilitados; resultados registrados; aceptación o brechas documentadas.</x:v>
      </x:c>
      <x:c r="H13" s="11" t="str">
        <x:v>Pendiente</x:v>
      </x:c>
      <x:c r="I13" s="12"/>
      <x:c r="J13" s="12"/>
      <x:c r="K13" s="13"/>
      <x:c r="L13" s="13"/>
      <x:c r="M13" s="11"/>
      <x:c r="N13" s="11"/>
      <x:c r="O13" s="11" t="str">
        <x:v>Pendiente de vincular</x:v>
      </x:c>
    </x:row>
    <x:row r="14" ht="38" customHeight="1">
      <x:c r="A14" s="10" t="str">
        <x:v>SB3-006</x:v>
      </x:c>
      <x:c r="B14" s="10" t="str">
        <x:v>Sprint 3</x:v>
      </x:c>
      <x:c r="C14" s="10" t="str">
        <x:v>TA-014</x:v>
      </x:c>
      <x:c r="D14" s="10" t="str">
        <x:v>Capacitar administradores y usuarios clave para operar la plataforma.</x:v>
      </x:c>
      <x:c r="E14" s="10" t="str">
        <x:v>Felipe Chávez / Vicente Palma</x:v>
      </x:c>
      <x:c r="F14" s="10" t="str">
        <x:v>HU-045</x:v>
      </x:c>
      <x:c r="G14" s="10" t="str">
        <x:v>Material preparado; sesión realizada; dudas registradas; participantes capaces de ejecutar tareas principales.</x:v>
      </x:c>
      <x:c r="H14" s="11" t="str">
        <x:v>Pendiente</x:v>
      </x:c>
      <x:c r="I14" s="12"/>
      <x:c r="J14" s="12"/>
      <x:c r="K14" s="13"/>
      <x:c r="L14" s="13"/>
      <x:c r="M14" s="11"/>
      <x:c r="N14" s="11"/>
      <x:c r="O14" s="11" t="str">
        <x:v>Pendiente de vincular</x:v>
      </x:c>
    </x:row>
    <x:row r="15" ht="38" customHeight="1">
      <x:c r="A15" s="6" t="str">
        <x:v>SB3-007</x:v>
      </x:c>
      <x:c r="B15" s="6" t="str">
        <x:v>Sprint 3</x:v>
      </x:c>
      <x:c r="C15" s="6" t="str">
        <x:v>TA-015</x:v>
      </x:c>
      <x:c r="D15" s="6" t="str">
        <x:v>Corregir observaciones prioritarias detectadas durante la aceptación de usuario.</x:v>
      </x:c>
      <x:c r="E15" s="6" t="str">
        <x:v>Alonso Urrutia / Vicente Palma / Franco Miranda</x:v>
      </x:c>
      <x:c r="F15" s="6" t="str">
        <x:v>HU-045</x:v>
      </x:c>
      <x:c r="G15" s="6" t="str">
        <x:v>Observaciones priorizadas; correcciones implementadas; regresión selectiva; cierre validado.</x:v>
      </x:c>
      <x:c r="H15" s="11" t="str">
        <x:v>Pendiente</x:v>
      </x:c>
      <x:c r="I15" s="12"/>
      <x:c r="J15" s="12"/>
      <x:c r="K15" s="13"/>
      <x:c r="L15" s="13"/>
      <x:c r="M15" s="11"/>
      <x:c r="N15" s="11"/>
      <x:c r="O15" s="11" t="str">
        <x:v>Pendiente de vincular</x:v>
      </x:c>
    </x:row>
    <x:row r="16" ht="38" customHeight="1">
      <x:c r="A16" s="10" t="str">
        <x:v>SB3-008</x:v>
      </x:c>
      <x:c r="B16" s="10" t="str">
        <x:v>Sprint 3</x:v>
      </x:c>
      <x:c r="C16" s="10" t="str">
        <x:v>TA-016</x:v>
      </x:c>
      <x:c r="D16" s="10" t="str">
        <x:v>Desplegar la versión aceptada con respaldo y configuración del ambiente productivo.</x:v>
      </x:c>
      <x:c r="E16" s="10" t="str">
        <x:v>Alonso Urrutia</x:v>
      </x:c>
      <x:c r="F16" s="10" t="str">
        <x:v>TA-015</x:v>
      </x:c>
      <x:c r="G16" s="10" t="str">
        <x:v>Ambiente operativo; variables seguras; respaldo probado; verificación posterior al despliegue.</x:v>
      </x:c>
      <x:c r="H16" s="11" t="str">
        <x:v>Pendiente</x:v>
      </x:c>
      <x:c r="I16" s="12"/>
      <x:c r="J16" s="12"/>
      <x:c r="K16" s="13"/>
      <x:c r="L16" s="13"/>
      <x:c r="M16" s="11"/>
      <x:c r="N16" s="11"/>
      <x:c r="O16" s="11" t="str">
        <x:v>Pendiente de vincular</x:v>
      </x:c>
    </x:row>
    <x:row r="17" ht="38" customHeight="1">
      <x:c r="A17" s="6" t="str">
        <x:v>SB3-009</x:v>
      </x:c>
      <x:c r="B17" s="6" t="str">
        <x:v>Sprint 3</x:v>
      </x:c>
      <x:c r="C17" s="6" t="str">
        <x:v>TA-017</x:v>
      </x:c>
      <x:c r="D17" s="6" t="str">
        <x:v>Entregar manuales de usuario, administración, arquitectura y despliegue.</x:v>
      </x:c>
      <x:c r="E17" s="6" t="str">
        <x:v>Felipe Chávez / Equipo</x:v>
      </x:c>
      <x:c r="F17" s="6" t="str">
        <x:v>TA-015</x:v>
      </x:c>
      <x:c r="G17" s="6" t="str">
        <x:v>Manuales actualizados; procedimientos reproducibles; versiones identificadas; entrega confirmada.</x:v>
      </x:c>
      <x:c r="H17" s="11" t="str">
        <x:v>Pendiente</x:v>
      </x:c>
      <x:c r="I17" s="12"/>
      <x:c r="J17" s="12"/>
      <x:c r="K17" s="13"/>
      <x:c r="L17" s="13"/>
      <x:c r="M17" s="11"/>
      <x:c r="N17" s="11"/>
      <x:c r="O17" s="11" t="str">
        <x:v>Pendiente de vincular</x:v>
      </x:c>
    </x:row>
    <x:row r="18" ht="38" customHeight="1">
      <x:c r="A18" s="10" t="str">
        <x:v>SB3-010</x:v>
      </x:c>
      <x:c r="B18" s="10" t="str">
        <x:v>Sprint 3</x:v>
      </x:c>
      <x:c r="C18" s="10" t="str">
        <x:v>TA-018</x:v>
      </x:c>
      <x:c r="D18" s="10" t="str">
        <x:v>Formalizar la aceptación, transferencia y soporte inicial del proyecto.</x:v>
      </x:c>
      <x:c r="E18" s="10" t="str">
        <x:v>Felipe Chávez</x:v>
      </x:c>
      <x:c r="F18" s="10" t="str">
        <x:v>TA-016, TA-017</x:v>
      </x:c>
      <x:c r="G18" s="10" t="str">
        <x:v>Acta de aceptación; accesos transferidos; soporte inicial acordado; pendientes y responsables registrados.</x:v>
      </x:c>
      <x:c r="H18" s="11" t="str">
        <x:v>Pendiente</x:v>
      </x:c>
      <x:c r="I18" s="12"/>
      <x:c r="J18" s="12"/>
      <x:c r="K18" s="13"/>
      <x:c r="L18" s="13"/>
      <x:c r="M18" s="11"/>
      <x:c r="N18" s="11"/>
      <x:c r="O18" s="11" t="str">
        <x:v>Pendiente de vincular</x:v>
      </x:c>
    </x:row>
  </x:sheetData>
  <x:conditionalFormatting sqref="H9:H18">
    <x:cfRule type="containsText" dxfId="4" priority="1" operator="containsText" text="Terminado"/>
    <x:cfRule type="containsText" dxfId="5" priority="2" operator="containsText" text="Bloqueado"/>
  </x:conditionalFormatting>
  <x:dataValidations count="2">
    <x:dataValidation type="list" sqref="H9:H18">
      <x:formula1>"Por verificar,Pendiente,En progreso,Bloqueado,En revisión,Terminado"</x:formula1>
    </x:dataValidation>
    <x:dataValidation type="list" sqref="M9:M18">
      <x:formula1>"Sí,No,Parcial"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57cc056f6345cd"/>
  </x:tableParts>
</x:worksheet>
</file>
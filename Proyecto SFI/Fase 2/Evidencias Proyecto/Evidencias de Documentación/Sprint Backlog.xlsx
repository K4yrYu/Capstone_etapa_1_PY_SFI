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dd6e1c23d4c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" sheetId="1" r:id="Rf65b30048ab3492d"/>
    <x:sheet xmlns:r="http://schemas.openxmlformats.org/officeDocument/2006/relationships" name="Sprint 2" sheetId="2" r:id="R947e4ba31eaf4381"/>
    <x:sheet xmlns:r="http://schemas.openxmlformats.org/officeDocument/2006/relationships" name="Sprint 3" sheetId="3" r:id="R47917e1da133439b"/>
    <x:sheet xmlns:r="http://schemas.openxmlformats.org/officeDocument/2006/relationships" name="Seguimiento de horas" sheetId="4" r:id="R7de290eb47a8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9">
    <x:font>
      <x:sz val="11"/>
      <x:name val="Carlito"/>
    </x:font>
    <x:font>
      <x:sz val="10"/>
      <x:color rgb="FF172B4D"/>
      <x:name val="Arial"/>
    </x:font>
    <x:font>
      <x:b/>
      <x:sz val="16"/>
      <x:color rgb="FF163A5F"/>
      <x:name val="Arial"/>
    </x:font>
    <x:font>
      <x:i/>
      <x:sz val="10"/>
      <x:color rgb="FF172B4D"/>
      <x:name val="Arial"/>
    </x:font>
    <x:font>
      <x:b/>
      <x:sz val="10"/>
      <x:color rgb="FFFFFFFF"/>
      <x:name val="Arial"/>
    </x:font>
    <x:font>
      <x:sz val="11"/>
      <x:color rgb="FF17365D"/>
      <x:name val="Arial"/>
    </x:font>
    <x:font>
      <x:b/>
      <x:sz val="16"/>
      <x:color rgb="FF17365D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1F5F9"/>
      </x:patternFill>
    </x:fill>
    <x:fill>
      <x:patternFill patternType="solid">
        <x:fgColor rgb="FFFFF5CC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8" fillId="0" borderId="0" xfId="0" applyNumberFormat="1" applyFont="1" applyFill="1" applyBorder="1"/>
    <x:xf numFmtId="201" fontId="8" fillId="0" borderId="0" xfId="0" applyNumberFormat="1" applyFont="1" applyFill="1" applyBorder="1"/>
    <x:xf numFmtId="200" fontId="0" fillId="0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/>
  </x:cellXfs>
  <x:cellStyles count="1">
    <x:cellStyle name="Normal" xfId="0"/>
  </x:cellStyles>
  <x:dxfs count="7">
    <x:dxf>
      <x:font>
        <x:color rgb="FF14532D"/>
      </x:font>
      <x:fill>
        <x:patternFill>
          <x:bgColor rgb="FFDCF3E3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4532D"/>
      </x:font>
      <x:fill>
        <x:patternFill>
          <x:bgColor rgb="FFDCF3E3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4532D"/>
      </x:font>
      <x:fill>
        <x:patternFill>
          <x:bgColor rgb="FFDCF3E3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af90caa96f497a" /><Relationship Type="http://schemas.openxmlformats.org/officeDocument/2006/relationships/theme" Target="/xl/theme/theme1.xml" Id="Rbc4418bff57e4016" /><Relationship Type="http://schemas.openxmlformats.org/officeDocument/2006/relationships/sharedStrings" Target="/xl/sharedStrings.xml" Id="R545111ab0f7449fc" /><Relationship Type="http://schemas.openxmlformats.org/officeDocument/2006/relationships/worksheet" Target="/xl/worksheets/sheet1.xml" Id="Rf65b30048ab3492d" /><Relationship Type="http://schemas.openxmlformats.org/officeDocument/2006/relationships/worksheet" Target="/xl/worksheets/sheet2.xml" Id="R947e4ba31eaf4381" /><Relationship Type="http://schemas.openxmlformats.org/officeDocument/2006/relationships/worksheet" Target="/xl/worksheets/sheet3.xml" Id="R47917e1da133439b" /><Relationship Type="http://schemas.openxmlformats.org/officeDocument/2006/relationships/worksheet" Target="/xl/worksheets/sheet4.xml" Id="R7de290eb47a846e4" /></Relationships>
</file>

<file path=xl/tables/table1.xml><?xml version="1.0" encoding="utf-8"?>
<x:table xmlns:x="http://schemas.openxmlformats.org/spreadsheetml/2006/main" id="1" name="Sprint1Tasks" displayName="Sprint1Tasks" ref="A8:S68" headerRowCount="1" totalsRowCount="0" totalsRowShown="0">
  <x:autoFilter ref="A8:S68"/>
  <x:tableColumns count="19">
    <x:tableColumn id="1" name="ID tarea"/>
    <x:tableColumn id="2" name="Sprint"/>
    <x:tableColumn id="3" name="PBI relacionado"/>
    <x:tableColumn id="4" name="Tarea"/>
    <x:tableColumn id="5" name="Responsable"/>
    <x:tableColumn id="6" name="Dependencias"/>
    <x:tableColumn id="7" name="Salida verificable"/>
    <x:tableColumn id="8" name="Estado"/>
    <x:tableColumn id="9" name="Estimación horas"/>
    <x:tableColumn id="10" name="Horas restantes"/>
    <x:tableColumn id="11" name="Fecha objetivo"/>
    <x:tableColumn id="12" name="Fecha cierre estimada"/>
    <x:tableColumn id="13" name="Cumple DoD"/>
    <x:tableColumn id="14" name="Bloqueo y acción"/>
    <x:tableColumn id="15" name="Evidencia"/>
    <x:tableColumn id="16" name="Estado PBI (Product)"/>
    <x:tableColumn id="17" name="DoD PBI (Product)"/>
    <x:tableColumn id="18" name="Inicio estimado"/>
    <x:tableColumn id="19" name="Horas realizadas estimad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rint2Tasks" displayName="Sprint2Tasks" ref="A8:S80" headerRowCount="1" totalsRowCount="0" totalsRowShown="0">
  <x:autoFilter ref="A8:S80"/>
  <x:tableColumns count="19">
    <x:tableColumn id="1" name="ID tarea"/>
    <x:tableColumn id="2" name="Sprint"/>
    <x:tableColumn id="3" name="PBI relacionado"/>
    <x:tableColumn id="4" name="Tarea"/>
    <x:tableColumn id="5" name="Responsable"/>
    <x:tableColumn id="6" name="Dependencias"/>
    <x:tableColumn id="7" name="Salida verificable"/>
    <x:tableColumn id="8" name="Estado"/>
    <x:tableColumn id="9" name="Estimación horas"/>
    <x:tableColumn id="10" name="Horas restantes"/>
    <x:tableColumn id="11" name="Fecha objetivo"/>
    <x:tableColumn id="12" name="Fecha cierre estimada"/>
    <x:tableColumn id="13" name="Cumple DoD"/>
    <x:tableColumn id="14" name="Bloqueo y acción"/>
    <x:tableColumn id="15" name="Evidencia"/>
    <x:tableColumn id="16" name="Estado PBI (Product)"/>
    <x:tableColumn id="17" name="DoD PBI (Product)"/>
    <x:tableColumn id="18" name="Inicio estimado"/>
    <x:tableColumn id="19" name="Horas realizadas estimad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rint3Tasks" displayName="Sprint3Tasks" ref="A8:S18" headerRowCount="1" totalsRowCount="0" totalsRowShown="0">
  <x:autoFilter ref="A8:S18"/>
  <x:tableColumns count="19">
    <x:tableColumn id="1" name="ID tarea"/>
    <x:tableColumn id="2" name="Sprint"/>
    <x:tableColumn id="3" name="PBI relacionado"/>
    <x:tableColumn id="4" name="Tarea"/>
    <x:tableColumn id="5" name="Responsable"/>
    <x:tableColumn id="6" name="Dependencias"/>
    <x:tableColumn id="7" name="Salida verificable"/>
    <x:tableColumn id="8" name="Estado"/>
    <x:tableColumn id="9" name="Estimación horas"/>
    <x:tableColumn id="10" name="Horas restantes"/>
    <x:tableColumn id="11" name="Fecha objetivo"/>
    <x:tableColumn id="12" name="Fecha cierre estimada"/>
    <x:tableColumn id="13" name="Cumple DoD"/>
    <x:tableColumn id="14" name="Bloqueo y acción"/>
    <x:tableColumn id="15" name="Evidencia"/>
    <x:tableColumn id="16" name="Estado PBI (Product)"/>
    <x:tableColumn id="17" name="DoD PBI (Product)"/>
    <x:tableColumn id="18" name="Inicio estimado"/>
    <x:tableColumn id="19" name="Horas realizadas estimad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81fcd931042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b3d414119b4d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5e4f5e0feb4d5b" /></Relationships>
</file>

<file path=xl/worksheets/sheet1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1" hidden="0" customWidth="1"/>
    <x:col min="4" max="4" width="65" hidden="0" customWidth="1"/>
    <x:col min="5" max="5" width="34" hidden="0" customWidth="1"/>
    <x:col min="6" max="6" width="28" hidden="0" customWidth="1"/>
    <x:col min="7" max="7" width="75" hidden="0" customWidth="1"/>
    <x:col min="8" max="8" width="23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8" hidden="0" customWidth="1"/>
    <x:col min="14" max="14" width="42" hidden="0" customWidth="1"/>
    <x:col min="15" max="15" width="42" hidden="0" customWidth="1"/>
    <x:col min="16" max="16" width="29" hidden="0" customWidth="1"/>
    <x:col min="17" max="17" width="29" hidden="0" customWidth="1"/>
    <x:col min="18" max="18" width="24" hidden="0" customWidth="1"/>
    <x:col min="19" max="1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Sprint Backlog SFI  •  Sprint 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Versión 2.2</x:v>
      </x:c>
      <x:c r="B3" s="2"/>
      <x:c r="C3" s="2"/>
      <x:c r="D3" s="4" t="d">
        <x:v>2026-10-26T12:00:00.000Z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Total tareas</x:v>
      </x:c>
      <x:c r="B5" s="2" t="n">
        <x:f>COUNTA(A9:A68)</x:f>
        <x:v>60</x:v>
      </x:c>
      <x:c r="C5" s="2" t="str">
        <x:v>Tareas terminadas</x:v>
      </x:c>
      <x:c r="D5" s="2" t="n">
        <x:f>COUNTIFS(H9:H68,"Terminado",M9:M68,"Sí")</x:f>
        <x:v>60</x:v>
      </x:c>
      <x:c r="E5" s="2" t="str">
        <x:v>Bloqueadas</x:v>
      </x:c>
      <x:c r="F5" s="2" t="n">
        <x:f>COUNTIF(H9:H68,"Bloqueado")</x:f>
        <x:v>0</x:v>
      </x:c>
      <x:c r="G5" s="2"/>
      <x:c r="H5" s="2" t="str">
        <x:v>PBI completados</x:v>
      </x:c>
      <x:c r="I5" s="2" t="n">
        <x:v>25</x:v>
      </x:c>
      <x:c r="J5" s="2" t="str">
        <x:v>Total PBI</x:v>
      </x:c>
      <x:c r="K5" s="2" t="n">
        <x:v>25</x:v>
      </x:c>
      <x:c r="L5" s="2"/>
      <x:c r="M5" s="2"/>
      <x:c r="N5" s="2"/>
      <x:c r="O5" s="2"/>
    </x:row>
    <x:row r="6">
      <x:c r="A6" s="5" t="str">
        <x:v>Objetivo: Bases del proyecto y ecommerce con cuentas, catálogo, carrito y pago.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5" t="str">
        <x:v>Corte estimado 26/10/2026. Tareas de PBI completados marcadas según Product Backlog; evidencias por vincular. Horas y fechas son estimaciones.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6" customHeight="1">
      <x:c r="A8" s="9" t="str">
        <x:v>ID tarea</x:v>
      </x:c>
      <x:c r="B8" s="9" t="str">
        <x:v>Sprint</x:v>
      </x:c>
      <x:c r="C8" s="9" t="str">
        <x:v>PBI relacionado</x:v>
      </x:c>
      <x:c r="D8" s="9" t="str">
        <x:v>Tarea</x:v>
      </x:c>
      <x:c r="E8" s="9" t="str">
        <x:v>Responsable</x:v>
      </x:c>
      <x:c r="F8" s="9" t="str">
        <x:v>Dependencias</x:v>
      </x:c>
      <x:c r="G8" s="9" t="str">
        <x:v>Salida verificable</x:v>
      </x:c>
      <x:c r="H8" s="9" t="str">
        <x:v>Estado</x:v>
      </x:c>
      <x:c r="I8" s="9" t="str">
        <x:v>Estimación horas</x:v>
      </x:c>
      <x:c r="J8" s="9" t="str">
        <x:v>Horas restantes</x:v>
      </x:c>
      <x:c r="K8" s="9" t="str">
        <x:v>Fecha objetivo</x:v>
      </x:c>
      <x:c r="L8" s="9" t="str">
        <x:v>Fecha cierre estimada</x:v>
      </x:c>
      <x:c r="M8" s="9" t="str">
        <x:v>Cumple DoD</x:v>
      </x:c>
      <x:c r="N8" s="9" t="str">
        <x:v>Bloqueo y acción</x:v>
      </x:c>
      <x:c r="O8" s="9" t="str">
        <x:v>Evidencia</x:v>
      </x:c>
      <x:c r="P8" s="9" t="str">
        <x:v>Estado PBI (Product)</x:v>
      </x:c>
      <x:c r="Q8" s="9" t="str">
        <x:v>DoD PBI (Product)</x:v>
      </x:c>
      <x:c r="R8" s="9" t="str">
        <x:v>Inicio estimado</x:v>
      </x:c>
      <x:c r="S8" s="9" t="str">
        <x:v>Horas realizadas estimadas</x:v>
      </x:c>
    </x:row>
    <x:row r="9" ht="38" customHeight="1">
      <x:c r="A9" s="6" t="str">
        <x:v>SB1-001</x:v>
      </x:c>
      <x:c r="B9" s="6" t="str">
        <x:v>Sprint 1</x:v>
      </x:c>
      <x:c r="C9" s="6" t="str">
        <x:v>TA-001</x:v>
      </x:c>
      <x:c r="D9" s="6" t="str">
        <x:v>Definir el Product Goal, el problema y la propuesta de valor de SFI.</x:v>
      </x:c>
      <x:c r="E9" s="6" t="str">
        <x:v>Felipe Chávez</x:v>
      </x:c>
      <x:c r="F9" s="6" t="str">
        <x:v>Ninguna</x:v>
      </x:c>
      <x:c r="G9" s="6" t="str">
        <x:v>Product Goal redactado; problema y valor identificados; aprobación del Product Owner.</x:v>
      </x:c>
      <x:c r="H9" s="11" t="str">
        <x:v>Terminado</x:v>
      </x:c>
      <x:c r="I9" s="12" t="n">
        <x:v>1.5</x:v>
      </x:c>
      <x:c r="J9" s="12" t="n">
        <x:v>0</x:v>
      </x:c>
      <x:c r="K9" s="13" t="d">
        <x:v>2026-08-10T12:00:00.000Z</x:v>
      </x:c>
      <x:c r="L9" s="13" t="d">
        <x:v>2026-08-10T12:00:00.000Z</x:v>
      </x:c>
      <x:c r="M9" s="11" t="str">
        <x:v>Sí</x:v>
      </x:c>
      <x:c r="N9" s="11" t="str">
        <x:v>Cierre y DoD registrados según Product Backlog. Evidencia de tarea pendiente de vincular.</x:v>
      </x:c>
      <x:c r="O9" s="11" t="str">
        <x:v>Pendiente de vincular evidencia de la tarea</x:v>
      </x:c>
      <x:c r="P9" s="11" t="str">
        <x:v>Completado</x:v>
      </x:c>
      <x:c r="Q9" s="12" t="str">
        <x:v>Sí</x:v>
      </x:c>
      <x:c r="R9" s="13" t="d">
        <x:v>2026-08-10T12:00:00.000Z</x:v>
      </x:c>
      <x:c r="S9" s="12" t="n">
        <x:f>I9-J9</x:f>
        <x:v>1.5</x:v>
      </x:c>
    </x:row>
    <x:row r="10" ht="38" customHeight="1">
      <x:c r="A10" s="10" t="str">
        <x:v>SB1-002</x:v>
      </x:c>
      <x:c r="B10" s="10" t="str">
        <x:v>Sprint 1</x:v>
      </x:c>
      <x:c r="C10" s="10" t="str">
        <x:v>TA-002</x:v>
      </x:c>
      <x:c r="D10" s="10" t="str">
        <x:v>Identificar usuarios, stakeholders y responsabilidades del equipo Scrum.</x:v>
      </x:c>
      <x:c r="E10" s="10" t="str">
        <x:v>Felipe Chávez</x:v>
      </x:c>
      <x:c r="F10" s="10" t="str">
        <x:v>TA-001</x:v>
      </x:c>
      <x:c r="G10" s="10" t="str">
        <x:v>Usuarios y stakeholders registrados; roles Scrum asignados; responsabilidades comunicadas.</x:v>
      </x:c>
      <x:c r="H10" s="11" t="str">
        <x:v>Terminado</x:v>
      </x:c>
      <x:c r="I10" s="12" t="n">
        <x:v>1</x:v>
      </x:c>
      <x:c r="J10" s="12" t="n">
        <x:v>0</x:v>
      </x:c>
      <x:c r="K10" s="13" t="d">
        <x:v>2026-08-11T12:00:00.000Z</x:v>
      </x:c>
      <x:c r="L10" s="13" t="d">
        <x:v>2026-08-11T12:00:00.000Z</x:v>
      </x:c>
      <x:c r="M10" s="11" t="str">
        <x:v>Sí</x:v>
      </x:c>
      <x:c r="N10" s="11" t="str">
        <x:v>Cierre y DoD registrados según Product Backlog. Evidencia de tarea pendiente de vincular.</x:v>
      </x:c>
      <x:c r="O10" s="11" t="str">
        <x:v>Pendiente de vincular evidencia de la tarea</x:v>
      </x:c>
      <x:c r="P10" s="11" t="str">
        <x:v>Completado</x:v>
      </x:c>
      <x:c r="Q10" s="12" t="str">
        <x:v>Sí</x:v>
      </x:c>
      <x:c r="R10" s="13" t="d">
        <x:v>2026-08-11T12:00:00.000Z</x:v>
      </x:c>
      <x:c r="S10" s="12" t="n">
        <x:f>I10-J10</x:f>
        <x:v>1</x:v>
      </x:c>
    </x:row>
    <x:row r="11" ht="38" customHeight="1">
      <x:c r="A11" s="6" t="str">
        <x:v>SB1-003</x:v>
      </x:c>
      <x:c r="B11" s="6" t="str">
        <x:v>Sprint 1</x:v>
      </x:c>
      <x:c r="C11" s="6" t="str">
        <x:v>TA-003</x:v>
      </x:c>
      <x:c r="D11" s="6" t="str">
        <x:v>Crear y priorizar el Product Backlog inicial del proyecto.</x:v>
      </x:c>
      <x:c r="E11" s="6" t="str">
        <x:v>Felipe Chávez</x:v>
      </x:c>
      <x:c r="F11" s="6" t="str">
        <x:v>TA-001, TA-002</x:v>
      </x:c>
      <x:c r="G11" s="6" t="str">
        <x:v>PBIs identificados; prioridades asignadas; distribución en tres sprints definida; backlog revisado por el equipo.</x:v>
      </x:c>
      <x:c r="H11" s="11" t="str">
        <x:v>Terminado</x:v>
      </x:c>
      <x:c r="I11" s="12" t="n">
        <x:v>2.5</x:v>
      </x:c>
      <x:c r="J11" s="12" t="n">
        <x:v>0</x:v>
      </x:c>
      <x:c r="K11" s="13" t="d">
        <x:v>2026-08-12T12:00:00.000Z</x:v>
      </x:c>
      <x:c r="L11" s="13" t="d">
        <x:v>2026-08-12T12:00:00.000Z</x:v>
      </x:c>
      <x:c r="M11" s="11" t="str">
        <x:v>Sí</x:v>
      </x:c>
      <x:c r="N11" s="11" t="str">
        <x:v>Cierre y DoD registrados según Product Backlog. Evidencia de tarea pendiente de vincular.</x:v>
      </x:c>
      <x:c r="O11" s="11" t="str">
        <x:v>Pendiente de vincular evidencia de la tarea</x:v>
      </x:c>
      <x:c r="P11" s="11" t="str">
        <x:v>Completado</x:v>
      </x:c>
      <x:c r="Q11" s="12" t="str">
        <x:v>Sí</x:v>
      </x:c>
      <x:c r="R11" s="13" t="d">
        <x:v>2026-08-12T12:00:00.000Z</x:v>
      </x:c>
      <x:c r="S11" s="12" t="n">
        <x:f>I11-J11</x:f>
        <x:v>2.5</x:v>
      </x:c>
    </x:row>
    <x:row r="12" ht="38" customHeight="1">
      <x:c r="A12" s="10" t="str">
        <x:v>SB1-004</x:v>
      </x:c>
      <x:c r="B12" s="10" t="str">
        <x:v>Sprint 1</x:v>
      </x:c>
      <x:c r="C12" s="10" t="str">
        <x:v>TA-004</x:v>
      </x:c>
      <x:c r="D12" s="10" t="str">
        <x:v>Definir criterios de terminado y aceptación, riesgos y seguimiento mediante weeklys.</x:v>
      </x:c>
      <x:c r="E12" s="10" t="str">
        <x:v>Felipe Chávez / Franco Miranda</x:v>
      </x:c>
      <x:c r="F12" s="10" t="str">
        <x:v>TA-002</x:v>
      </x:c>
      <x:c r="G12" s="10" t="str">
        <x:v>DoD documentada; weekly de los jueves definida; riesgos y acuerdos de comunicación registrados.</x:v>
      </x:c>
      <x:c r="H12" s="11" t="str">
        <x:v>Terminado</x:v>
      </x:c>
      <x:c r="I12" s="12" t="n">
        <x:v>2</x:v>
      </x:c>
      <x:c r="J12" s="12" t="n">
        <x:v>0</x:v>
      </x:c>
      <x:c r="K12" s="13" t="d">
        <x:v>2026-08-14T12:00:00.000Z</x:v>
      </x:c>
      <x:c r="L12" s="13" t="d">
        <x:v>2026-08-14T12:00:00.000Z</x:v>
      </x:c>
      <x:c r="M12" s="11" t="str">
        <x:v>Sí</x:v>
      </x:c>
      <x:c r="N12" s="11" t="str">
        <x:v>Cierre y DoD registrados según Product Backlog. Evidencia de tarea pendiente de vincular.</x:v>
      </x:c>
      <x:c r="O12" s="11" t="str">
        <x:v>Pendiente de vincular evidencia de la tarea</x:v>
      </x:c>
      <x:c r="P12" s="11" t="str">
        <x:v>Completado</x:v>
      </x:c>
      <x:c r="Q12" s="12" t="str">
        <x:v>Sí</x:v>
      </x:c>
      <x:c r="R12" s="13" t="d">
        <x:v>2026-08-14T12:00:00.000Z</x:v>
      </x:c>
      <x:c r="S12" s="12" t="n">
        <x:f>I12-J12</x:f>
        <x:v>2</x:v>
      </x:c>
    </x:row>
    <x:row r="13" ht="38" customHeight="1">
      <x:c r="A13" s="6" t="str">
        <x:v>SB1-005</x:v>
      </x:c>
      <x:c r="B13" s="6" t="str">
        <x:v>Sprint 1</x:v>
      </x:c>
      <x:c r="C13" s="6" t="str">
        <x:v>TA-005</x:v>
      </x:c>
      <x:c r="D13" s="6" t="str">
        <x:v>Configurar el proyecto Django, la base de datos y el ambiente de desarrollo compartido.</x:v>
      </x:c>
      <x:c r="E13" s="6" t="str">
        <x:v>Alonso Urrutia</x:v>
      </x:c>
      <x:c r="F13" s="6" t="str">
        <x:v>TA-003</x:v>
      </x:c>
      <x:c r="G13" s="6" t="str">
        <x:v>Proyecto ejecutable; conexión a base de datos operativa; dependencias documentadas; instalación reproducible.</x:v>
      </x:c>
      <x:c r="H13" s="11" t="str">
        <x:v>Terminado</x:v>
      </x:c>
      <x:c r="I13" s="12" t="n">
        <x:v>2.5</x:v>
      </x:c>
      <x:c r="J13" s="12" t="n">
        <x:v>0</x:v>
      </x:c>
      <x:c r="K13" s="13" t="d">
        <x:v>2026-08-17T12:00:00.000Z</x:v>
      </x:c>
      <x:c r="L13" s="13" t="d">
        <x:v>2026-08-17T12:00:00.000Z</x:v>
      </x:c>
      <x:c r="M13" s="11" t="str">
        <x:v>Sí</x:v>
      </x:c>
      <x:c r="N13" s="11" t="str">
        <x:v>Cierre y DoD registrados según Product Backlog. Evidencia de tarea pendiente de vincular.</x:v>
      </x:c>
      <x:c r="O13" s="11" t="str">
        <x:v>Pendiente de vincular evidencia de la tarea</x:v>
      </x:c>
      <x:c r="P13" s="11" t="str">
        <x:v>Completado</x:v>
      </x:c>
      <x:c r="Q13" s="12" t="str">
        <x:v>Sí</x:v>
      </x:c>
      <x:c r="R13" s="13" t="d">
        <x:v>2026-08-17T12:00:00.000Z</x:v>
      </x:c>
      <x:c r="S13" s="12" t="n">
        <x:f>I13-J13</x:f>
        <x:v>2.5</x:v>
      </x:c>
    </x:row>
    <x:row r="14" ht="38" customHeight="1">
      <x:c r="A14" s="10" t="str">
        <x:v>SB1-006</x:v>
      </x:c>
      <x:c r="B14" s="10" t="str">
        <x:v>Sprint 1</x:v>
      </x:c>
      <x:c r="C14" s="10" t="str">
        <x:v>TA-006</x:v>
      </x:c>
      <x:c r="D14" s="10" t="str">
        <x:v>Definir la estructura modular, rutas, configuraciones y estándares técnicos.</x:v>
      </x:c>
      <x:c r="E14" s="10" t="str">
        <x:v>Alonso Urrutia</x:v>
      </x:c>
      <x:c r="F14" s="10" t="str">
        <x:v>TA-005</x:v>
      </x:c>
      <x:c r="G14" s="10" t="str">
        <x:v>Módulos separados; rutas base disponibles; configuración por ambiente; convenciones acordadas.</x:v>
      </x:c>
      <x:c r="H14" s="11" t="str">
        <x:v>Terminado</x:v>
      </x:c>
      <x:c r="I14" s="12" t="n">
        <x:v>2.5</x:v>
      </x:c>
      <x:c r="J14" s="12" t="n">
        <x:v>0</x:v>
      </x:c>
      <x:c r="K14" s="13" t="d">
        <x:v>2026-08-18T12:00:00.000Z</x:v>
      </x:c>
      <x:c r="L14" s="13" t="d">
        <x:v>2026-08-18T12:00:00.000Z</x:v>
      </x:c>
      <x:c r="M14" s="11" t="str">
        <x:v>Sí</x:v>
      </x:c>
      <x:c r="N14" s="11" t="str">
        <x:v>Cierre y DoD registrados según Product Backlog. Evidencia de tarea pendiente de vincular.</x:v>
      </x:c>
      <x:c r="O14" s="11" t="str">
        <x:v>Pendiente de vincular evidencia de la tarea</x:v>
      </x:c>
      <x:c r="P14" s="11" t="str">
        <x:v>Completado</x:v>
      </x:c>
      <x:c r="Q14" s="12" t="str">
        <x:v>Sí</x:v>
      </x:c>
      <x:c r="R14" s="13" t="d">
        <x:v>2026-08-18T12:00:00.000Z</x:v>
      </x:c>
      <x:c r="S14" s="12" t="n">
        <x:f>I14-J14</x:f>
        <x:v>2.5</x:v>
      </x:c>
    </x:row>
    <x:row r="15" ht="38" customHeight="1">
      <x:c r="A15" s="6" t="str">
        <x:v>SB1-007</x:v>
      </x:c>
      <x:c r="B15" s="6" t="str">
        <x:v>Sprint 1</x:v>
      </x:c>
      <x:c r="C15" s="6" t="str">
        <x:v>HU-001</x:v>
      </x:c>
      <x:c r="D15" s="6" t="str">
        <x:v>Diseñar o ajustar interfaz y mensajes para experiencia transversal.</x:v>
      </x:c>
      <x:c r="E15" s="6" t="str">
        <x:v>Vicente Palma</x:v>
      </x:c>
      <x:c r="F15" s="6" t="str">
        <x:v>TA-005</x:v>
      </x:c>
      <x:c r="G15" s="6" t="str">
        <x:v>Vista o flujo revisado, campos y mensajes definidos y comportamiento móvil considerado.</x:v>
      </x:c>
      <x:c r="H15" s="11" t="str">
        <x:v>Terminado</x:v>
      </x:c>
      <x:c r="I15" s="12" t="n">
        <x:v>1</x:v>
      </x:c>
      <x:c r="J15" s="12" t="n">
        <x:v>0</x:v>
      </x:c>
      <x:c r="K15" s="13" t="d">
        <x:v>2026-08-20T12:00:00.000Z</x:v>
      </x:c>
      <x:c r="L15" s="13" t="d">
        <x:v>2026-08-20T12:00:00.000Z</x:v>
      </x:c>
      <x:c r="M15" s="11" t="str">
        <x:v>Sí</x:v>
      </x:c>
      <x:c r="N15" s="11" t="str">
        <x:v>Cierre y DoD registrados según Product Backlog. Evidencia de tarea pendiente de vincular.</x:v>
      </x:c>
      <x:c r="O15" s="11" t="str">
        <x:v>Pendiente de vincular evidencia de la tarea</x:v>
      </x:c>
      <x:c r="P15" s="11" t="str">
        <x:v>Completado</x:v>
      </x:c>
      <x:c r="Q15" s="12" t="str">
        <x:v>Sí</x:v>
      </x:c>
      <x:c r="R15" s="13" t="d">
        <x:v>2026-08-20T12:00:00.000Z</x:v>
      </x:c>
      <x:c r="S15" s="12" t="n">
        <x:f>I15-J15</x:f>
        <x:v>1</x:v>
      </x:c>
    </x:row>
    <x:row r="16" ht="38" customHeight="1">
      <x:c r="A16" s="10" t="str">
        <x:v>SB1-008</x:v>
      </x:c>
      <x:c r="B16" s="10" t="str">
        <x:v>Sprint 1</x:v>
      </x:c>
      <x:c r="C16" s="10" t="str">
        <x:v>HU-001</x:v>
      </x:c>
      <x:c r="D16" s="10" t="str">
        <x:v>Implementar la función para una navegación base clara y adaptable.</x:v>
      </x:c>
      <x:c r="E16" s="10" t="str">
        <x:v>Alonso Urrutia</x:v>
      </x:c>
      <x:c r="F16" s="10" t="str">
        <x:v>SB1-007</x:v>
      </x:c>
      <x:c r="G16" s="10" t="str">
        <x:v>Página inicial disponible; navegación funcional; componentes base reutilizables; diseño responsive.</x:v>
      </x:c>
      <x:c r="H16" s="11" t="str">
        <x:v>Terminado</x:v>
      </x:c>
      <x:c r="I16" s="12" t="n">
        <x:v>2.5</x:v>
      </x:c>
      <x:c r="J16" s="12" t="n">
        <x:v>0</x:v>
      </x:c>
      <x:c r="K16" s="13" t="d">
        <x:v>2026-08-20T12:00:00.000Z</x:v>
      </x:c>
      <x:c r="L16" s="13" t="d">
        <x:v>2026-08-20T12:00:00.000Z</x:v>
      </x:c>
      <x:c r="M16" s="11" t="str">
        <x:v>Sí</x:v>
      </x:c>
      <x:c r="N16" s="11" t="str">
        <x:v>Cierre y DoD registrados según Product Backlog. Evidencia de tarea pendiente de vincular.</x:v>
      </x:c>
      <x:c r="O16" s="11" t="str">
        <x:v>Pendiente de vincular evidencia de la tarea</x:v>
      </x:c>
      <x:c r="P16" s="11" t="str">
        <x:v>Completado</x:v>
      </x:c>
      <x:c r="Q16" s="12" t="str">
        <x:v>Sí</x:v>
      </x:c>
      <x:c r="R16" s="13" t="d">
        <x:v>2026-08-20T12:00:00.000Z</x:v>
      </x:c>
      <x:c r="S16" s="12" t="n">
        <x:f>I16-J16</x:f>
        <x:v>2.5</x:v>
      </x:c>
    </x:row>
    <x:row r="17" ht="49" customHeight="1">
      <x:c r="A17" s="6" t="str">
        <x:v>SB1-009</x:v>
      </x:c>
      <x:c r="B17" s="6" t="str">
        <x:v>Sprint 1</x:v>
      </x:c>
      <x:c r="C17" s="6" t="str">
        <x:v>HU-001</x:v>
      </x:c>
      <x:c r="D17" s="6" t="str">
        <x:v>Verificar criterios de aceptación, permisos y casos negativos de HU-001.</x:v>
      </x:c>
      <x:c r="E17" s="6" t="str">
        <x:v>Franco Miranda</x:v>
      </x:c>
      <x:c r="F17" s="6" t="str">
        <x:v>SB1-008</x:v>
      </x:c>
      <x:c r="G17" s="6" t="str">
        <x:v>Casos ejecutados y evidencia vinculada; defectos clasificados; criterios del PBI verificados: Página inicial disponible; navegación funcional; componentes base reutilizables; diseño responsive.</x:v>
      </x:c>
      <x:c r="H17" s="11" t="str">
        <x:v>Terminado</x:v>
      </x:c>
      <x:c r="I17" s="12" t="n">
        <x:v>1</x:v>
      </x:c>
      <x:c r="J17" s="12" t="n">
        <x:v>0</x:v>
      </x:c>
      <x:c r="K17" s="13" t="d">
        <x:v>2026-08-21T12:00:00.000Z</x:v>
      </x:c>
      <x:c r="L17" s="13" t="d">
        <x:v>2026-08-21T12:00:00.000Z</x:v>
      </x:c>
      <x:c r="M17" s="11" t="str">
        <x:v>Sí</x:v>
      </x:c>
      <x:c r="N17" s="11" t="str">
        <x:v>Cierre y DoD registrados según Product Backlog. Evidencia de tarea pendiente de vincular.</x:v>
      </x:c>
      <x:c r="O17" s="11" t="str">
        <x:v>Pendiente de vincular evidencia de la tarea</x:v>
      </x:c>
      <x:c r="P17" s="11" t="str">
        <x:v>Completado</x:v>
      </x:c>
      <x:c r="Q17" s="12" t="str">
        <x:v>Sí</x:v>
      </x:c>
      <x:c r="R17" s="13" t="d">
        <x:v>2026-08-20T12:00:00.000Z</x:v>
      </x:c>
      <x:c r="S17" s="12" t="n">
        <x:f>I17-J17</x:f>
        <x:v>1</x:v>
      </x:c>
    </x:row>
    <x:row r="18" ht="38" customHeight="1">
      <x:c r="A18" s="10" t="str">
        <x:v>SB1-010</x:v>
      </x:c>
      <x:c r="B18" s="10" t="str">
        <x:v>Sprint 1</x:v>
      </x:c>
      <x:c r="C18" s="10" t="str">
        <x:v>HU-002</x:v>
      </x:c>
      <x:c r="D18" s="10" t="str">
        <x:v>Diseñar o ajustar interfaz y mensajes para usuarios.</x:v>
      </x:c>
      <x:c r="E18" s="10" t="str">
        <x:v>Vicente Palma</x:v>
      </x:c>
      <x:c r="F18" s="10" t="str">
        <x:v>TA-005</x:v>
      </x:c>
      <x:c r="G18" s="10" t="str">
        <x:v>Vista o flujo revisado, campos y mensajes definidos y comportamiento móvil considerado.</x:v>
      </x:c>
      <x:c r="H18" s="11" t="str">
        <x:v>Terminado</x:v>
      </x:c>
      <x:c r="I18" s="12" t="n">
        <x:v>1</x:v>
      </x:c>
      <x:c r="J18" s="12" t="n">
        <x:v>0</x:v>
      </x:c>
      <x:c r="K18" s="13" t="d">
        <x:v>2026-08-21T12:00:00.000Z</x:v>
      </x:c>
      <x:c r="L18" s="13" t="d">
        <x:v>2026-08-21T12:00:00.000Z</x:v>
      </x:c>
      <x:c r="M18" s="11" t="str">
        <x:v>Sí</x:v>
      </x:c>
      <x:c r="N18" s="11" t="str">
        <x:v>Cierre y DoD registrados según Product Backlog. Evidencia de tarea pendiente de vincular.</x:v>
      </x:c>
      <x:c r="O18" s="11" t="str">
        <x:v>Pendiente de vincular evidencia de la tarea</x:v>
      </x:c>
      <x:c r="P18" s="11" t="str">
        <x:v>Completado</x:v>
      </x:c>
      <x:c r="Q18" s="12" t="str">
        <x:v>Sí</x:v>
      </x:c>
      <x:c r="R18" s="13" t="d">
        <x:v>2026-08-21T12:00:00.000Z</x:v>
      </x:c>
      <x:c r="S18" s="12" t="n">
        <x:f>I18-J18</x:f>
        <x:v>1</x:v>
      </x:c>
    </x:row>
    <x:row r="19" ht="38" customHeight="1">
      <x:c r="A19" s="6" t="str">
        <x:v>SB1-011</x:v>
      </x:c>
      <x:c r="B19" s="6" t="str">
        <x:v>Sprint 1</x:v>
      </x:c>
      <x:c r="C19" s="6" t="str">
        <x:v>HU-002</x:v>
      </x:c>
      <x:c r="D19" s="6" t="str">
        <x:v>Implementar la función para registrarme e iniciar sesión.</x:v>
      </x:c>
      <x:c r="E19" s="6" t="str">
        <x:v>Alonso Urrutia</x:v>
      </x:c>
      <x:c r="F19" s="6" t="str">
        <x:v>SB1-010</x:v>
      </x:c>
      <x:c r="G19" s="6" t="str">
        <x:v>Registro válido; correo único; inicio y cierre de sesión; mensajes ante datos incorrectos.</x:v>
      </x:c>
      <x:c r="H19" s="11" t="str">
        <x:v>Terminado</x:v>
      </x:c>
      <x:c r="I19" s="12" t="n">
        <x:v>2.5</x:v>
      </x:c>
      <x:c r="J19" s="12" t="n">
        <x:v>0</x:v>
      </x:c>
      <x:c r="K19" s="13" t="d">
        <x:v>2026-08-21T12:00:00.000Z</x:v>
      </x:c>
      <x:c r="L19" s="13" t="d">
        <x:v>2026-08-21T12:00:00.000Z</x:v>
      </x:c>
      <x:c r="M19" s="11" t="str">
        <x:v>Sí</x:v>
      </x:c>
      <x:c r="N19" s="11" t="str">
        <x:v>Cierre y DoD registrados según Product Backlog. Evidencia de tarea pendiente de vincular.</x:v>
      </x:c>
      <x:c r="O19" s="11" t="str">
        <x:v>Pendiente de vincular evidencia de la tarea</x:v>
      </x:c>
      <x:c r="P19" s="11" t="str">
        <x:v>Completado</x:v>
      </x:c>
      <x:c r="Q19" s="12" t="str">
        <x:v>Sí</x:v>
      </x:c>
      <x:c r="R19" s="13" t="d">
        <x:v>2026-08-21T12:00:00.000Z</x:v>
      </x:c>
      <x:c r="S19" s="12" t="n">
        <x:f>I19-J19</x:f>
        <x:v>2.5</x:v>
      </x:c>
    </x:row>
    <x:row r="20" ht="49" customHeight="1">
      <x:c r="A20" s="10" t="str">
        <x:v>SB1-012</x:v>
      </x:c>
      <x:c r="B20" s="10" t="str">
        <x:v>Sprint 1</x:v>
      </x:c>
      <x:c r="C20" s="10" t="str">
        <x:v>HU-002</x:v>
      </x:c>
      <x:c r="D20" s="10" t="str">
        <x:v>Verificar criterios de aceptación, permisos y casos negativos de HU-002.</x:v>
      </x:c>
      <x:c r="E20" s="10" t="str">
        <x:v>Franco Miranda</x:v>
      </x:c>
      <x:c r="F20" s="10" t="str">
        <x:v>SB1-011</x:v>
      </x:c>
      <x:c r="G20" s="10" t="str">
        <x:v>Casos ejecutados y evidencia vinculada; defectos clasificados; criterios del PBI verificados: Registro válido; correo único; inicio y cierre de sesión; mensajes ante datos incorrectos.</x:v>
      </x:c>
      <x:c r="H20" s="11" t="str">
        <x:v>Terminado</x:v>
      </x:c>
      <x:c r="I20" s="12" t="n">
        <x:v>1</x:v>
      </x:c>
      <x:c r="J20" s="12" t="n">
        <x:v>0</x:v>
      </x:c>
      <x:c r="K20" s="13" t="d">
        <x:v>2026-08-24T12:00:00.000Z</x:v>
      </x:c>
      <x:c r="L20" s="13" t="d">
        <x:v>2026-08-24T12:00:00.000Z</x:v>
      </x:c>
      <x:c r="M20" s="11" t="str">
        <x:v>Sí</x:v>
      </x:c>
      <x:c r="N20" s="11" t="str">
        <x:v>Cierre y DoD registrados según Product Backlog. Evidencia de tarea pendiente de vincular.</x:v>
      </x:c>
      <x:c r="O20" s="11" t="str">
        <x:v>Pendiente de vincular evidencia de la tarea</x:v>
      </x:c>
      <x:c r="P20" s="11" t="str">
        <x:v>Completado</x:v>
      </x:c>
      <x:c r="Q20" s="12" t="str">
        <x:v>Sí</x:v>
      </x:c>
      <x:c r="R20" s="13" t="d">
        <x:v>2026-08-21T12:00:00.000Z</x:v>
      </x:c>
      <x:c r="S20" s="12" t="n">
        <x:f>I20-J20</x:f>
        <x:v>1</x:v>
      </x:c>
    </x:row>
    <x:row r="21" ht="38" customHeight="1">
      <x:c r="A21" s="6" t="str">
        <x:v>SB1-013</x:v>
      </x:c>
      <x:c r="B21" s="6" t="str">
        <x:v>Sprint 1</x:v>
      </x:c>
      <x:c r="C21" s="6" t="str">
        <x:v>HU-003</x:v>
      </x:c>
      <x:c r="D21" s="6" t="str">
        <x:v>Diseñar o ajustar interfaz y mensajes para usuarios.</x:v>
      </x:c>
      <x:c r="E21" s="6" t="str">
        <x:v>Vicente Palma</x:v>
      </x:c>
      <x:c r="F21" s="6" t="str">
        <x:v>HU-002</x:v>
      </x:c>
      <x:c r="G21" s="6" t="str">
        <x:v>Vista o flujo revisado, campos y mensajes definidos y comportamiento móvil considerado.</x:v>
      </x:c>
      <x:c r="H21" s="11" t="str">
        <x:v>Terminado</x:v>
      </x:c>
      <x:c r="I21" s="12" t="n">
        <x:v>1</x:v>
      </x:c>
      <x:c r="J21" s="12" t="n">
        <x:v>0</x:v>
      </x:c>
      <x:c r="K21" s="13" t="d">
        <x:v>2026-08-24T12:00:00.000Z</x:v>
      </x:c>
      <x:c r="L21" s="13" t="d">
        <x:v>2026-08-24T12:00:00.000Z</x:v>
      </x:c>
      <x:c r="M21" s="11" t="str">
        <x:v>Sí</x:v>
      </x:c>
      <x:c r="N21" s="11" t="str">
        <x:v>Cierre y DoD registrados según Product Backlog. Evidencia de tarea pendiente de vincular.</x:v>
      </x:c>
      <x:c r="O21" s="11" t="str">
        <x:v>Pendiente de vincular evidencia de la tarea</x:v>
      </x:c>
      <x:c r="P21" s="11" t="str">
        <x:v>Completado</x:v>
      </x:c>
      <x:c r="Q21" s="12" t="str">
        <x:v>Sí</x:v>
      </x:c>
      <x:c r="R21" s="13" t="d">
        <x:v>2026-08-24T12:00:00.000Z</x:v>
      </x:c>
      <x:c r="S21" s="12" t="n">
        <x:f>I21-J21</x:f>
        <x:v>1</x:v>
      </x:c>
    </x:row>
    <x:row r="22" ht="38" customHeight="1">
      <x:c r="A22" s="10" t="str">
        <x:v>SB1-014</x:v>
      </x:c>
      <x:c r="B22" s="10" t="str">
        <x:v>Sprint 1</x:v>
      </x:c>
      <x:c r="C22" s="10" t="str">
        <x:v>HU-003</x:v>
      </x:c>
      <x:c r="D22" s="10" t="str">
        <x:v>Implementar la función para recuperar su contraseña.</x:v>
      </x:c>
      <x:c r="E22" s="10" t="str">
        <x:v>Alonso Urrutia</x:v>
      </x:c>
      <x:c r="F22" s="10" t="str">
        <x:v>SB1-013</x:v>
      </x:c>
      <x:c r="G22" s="10" t="str">
        <x:v>Solicitud por correo; enlace temporal; cambio de contraseña; confirmación al usuario.</x:v>
      </x:c>
      <x:c r="H22" s="11" t="str">
        <x:v>Terminado</x:v>
      </x:c>
      <x:c r="I22" s="12" t="n">
        <x:v>1.5</x:v>
      </x:c>
      <x:c r="J22" s="12" t="n">
        <x:v>0</x:v>
      </x:c>
      <x:c r="K22" s="13" t="d">
        <x:v>2026-08-24T12:00:00.000Z</x:v>
      </x:c>
      <x:c r="L22" s="13" t="d">
        <x:v>2026-08-24T12:00:00.000Z</x:v>
      </x:c>
      <x:c r="M22" s="11" t="str">
        <x:v>Sí</x:v>
      </x:c>
      <x:c r="N22" s="11" t="str">
        <x:v>Cierre y DoD registrados según Product Backlog. Evidencia de tarea pendiente de vincular.</x:v>
      </x:c>
      <x:c r="O22" s="11" t="str">
        <x:v>Pendiente de vincular evidencia de la tarea</x:v>
      </x:c>
      <x:c r="P22" s="11" t="str">
        <x:v>Completado</x:v>
      </x:c>
      <x:c r="Q22" s="12" t="str">
        <x:v>Sí</x:v>
      </x:c>
      <x:c r="R22" s="13" t="d">
        <x:v>2026-08-24T12:00:00.000Z</x:v>
      </x:c>
      <x:c r="S22" s="12" t="n">
        <x:f>I22-J22</x:f>
        <x:v>1.5</x:v>
      </x:c>
    </x:row>
    <x:row r="23" ht="49" customHeight="1">
      <x:c r="A23" s="6" t="str">
        <x:v>SB1-015</x:v>
      </x:c>
      <x:c r="B23" s="6" t="str">
        <x:v>Sprint 1</x:v>
      </x:c>
      <x:c r="C23" s="6" t="str">
        <x:v>HU-003</x:v>
      </x:c>
      <x:c r="D23" s="6" t="str">
        <x:v>Verificar criterios de aceptación, permisos y casos negativos de HU-003.</x:v>
      </x:c>
      <x:c r="E23" s="6" t="str">
        <x:v>Franco Miranda</x:v>
      </x:c>
      <x:c r="F23" s="6" t="str">
        <x:v>SB1-014</x:v>
      </x:c>
      <x:c r="G23" s="6" t="str">
        <x:v>Casos ejecutados y evidencia vinculada; defectos clasificados; criterios del PBI verificados: Solicitud por correo; enlace temporal; cambio de contraseña; confirmación al usuario.</x:v>
      </x:c>
      <x:c r="H23" s="11" t="str">
        <x:v>Terminado</x:v>
      </x:c>
      <x:c r="I23" s="12" t="n">
        <x:v>1</x:v>
      </x:c>
      <x:c r="J23" s="12" t="n">
        <x:v>0</x:v>
      </x:c>
      <x:c r="K23" s="13" t="d">
        <x:v>2026-08-24T12:00:00.000Z</x:v>
      </x:c>
      <x:c r="L23" s="13" t="d">
        <x:v>2026-08-24T12:00:00.000Z</x:v>
      </x:c>
      <x:c r="M23" s="11" t="str">
        <x:v>Sí</x:v>
      </x:c>
      <x:c r="N23" s="11" t="str">
        <x:v>Cierre y DoD registrados según Product Backlog. Evidencia de tarea pendiente de vincular.</x:v>
      </x:c>
      <x:c r="O23" s="11" t="str">
        <x:v>Pendiente de vincular evidencia de la tarea</x:v>
      </x:c>
      <x:c r="P23" s="11" t="str">
        <x:v>Completado</x:v>
      </x:c>
      <x:c r="Q23" s="12" t="str">
        <x:v>Sí</x:v>
      </x:c>
      <x:c r="R23" s="13" t="d">
        <x:v>2026-08-24T12:00:00.000Z</x:v>
      </x:c>
      <x:c r="S23" s="12" t="n">
        <x:f>I23-J23</x:f>
        <x:v>1</x:v>
      </x:c>
    </x:row>
    <x:row r="24" ht="38" customHeight="1">
      <x:c r="A24" s="10" t="str">
        <x:v>SB1-016</x:v>
      </x:c>
      <x:c r="B24" s="10" t="str">
        <x:v>Sprint 1</x:v>
      </x:c>
      <x:c r="C24" s="10" t="str">
        <x:v>HU-004</x:v>
      </x:c>
      <x:c r="D24" s="10" t="str">
        <x:v>Implementar la función para asignar roles y permisos.</x:v>
      </x:c>
      <x:c r="E24" s="10" t="str">
        <x:v>Alonso Urrutia</x:v>
      </x:c>
      <x:c r="F24" s="10" t="str">
        <x:v>HU-002</x:v>
      </x:c>
      <x:c r="G24" s="10" t="str">
        <x:v>Roles diferenciados; accesos protegidos; usuarios no autorizados bloqueados; pruebas de permisos aprobadas.</x:v>
      </x:c>
      <x:c r="H24" s="11" t="str">
        <x:v>Terminado</x:v>
      </x:c>
      <x:c r="I24" s="12" t="n">
        <x:v>2.5</x:v>
      </x:c>
      <x:c r="J24" s="12" t="n">
        <x:v>0</x:v>
      </x:c>
      <x:c r="K24" s="13" t="d">
        <x:v>2026-08-26T12:00:00.000Z</x:v>
      </x:c>
      <x:c r="L24" s="13" t="d">
        <x:v>2026-08-26T12:00:00.000Z</x:v>
      </x:c>
      <x:c r="M24" s="11" t="str">
        <x:v>Sí</x:v>
      </x:c>
      <x:c r="N24" s="11" t="str">
        <x:v>Cierre y DoD registrados según Product Backlog. Evidencia de tarea pendiente de vincular.</x:v>
      </x:c>
      <x:c r="O24" s="11" t="str">
        <x:v>Pendiente de vincular evidencia de la tarea</x:v>
      </x:c>
      <x:c r="P24" s="11" t="str">
        <x:v>Completado</x:v>
      </x:c>
      <x:c r="Q24" s="12" t="str">
        <x:v>Sí</x:v>
      </x:c>
      <x:c r="R24" s="13" t="d">
        <x:v>2026-08-26T12:00:00.000Z</x:v>
      </x:c>
      <x:c r="S24" s="12" t="n">
        <x:f>I24-J24</x:f>
        <x:v>2.5</x:v>
      </x:c>
    </x:row>
    <x:row r="25" ht="49" customHeight="1">
      <x:c r="A25" s="6" t="str">
        <x:v>SB1-017</x:v>
      </x:c>
      <x:c r="B25" s="6" t="str">
        <x:v>Sprint 1</x:v>
      </x:c>
      <x:c r="C25" s="6" t="str">
        <x:v>HU-004</x:v>
      </x:c>
      <x:c r="D25" s="6" t="str">
        <x:v>Verificar criterios de aceptación, permisos y casos negativos de HU-004.</x:v>
      </x:c>
      <x:c r="E25" s="6" t="str">
        <x:v>Franco Miranda</x:v>
      </x:c>
      <x:c r="F25" s="6" t="str">
        <x:v>SB1-016</x:v>
      </x:c>
      <x:c r="G25" s="6" t="str">
        <x:v>Casos ejecutados y evidencia vinculada; defectos clasificados; criterios del PBI verificados: Roles diferenciados; accesos protegidos; usuarios no autorizados bloqueados; pruebas de permisos aprobadas.</x:v>
      </x:c>
      <x:c r="H25" s="11" t="str">
        <x:v>Terminado</x:v>
      </x:c>
      <x:c r="I25" s="12" t="n">
        <x:v>1</x:v>
      </x:c>
      <x:c r="J25" s="12" t="n">
        <x:v>0</x:v>
      </x:c>
      <x:c r="K25" s="13" t="d">
        <x:v>2026-08-26T12:00:00.000Z</x:v>
      </x:c>
      <x:c r="L25" s="13" t="d">
        <x:v>2026-08-26T12:00:00.000Z</x:v>
      </x:c>
      <x:c r="M25" s="11" t="str">
        <x:v>Sí</x:v>
      </x:c>
      <x:c r="N25" s="11" t="str">
        <x:v>Cierre y DoD registrados según Product Backlog. Evidencia de tarea pendiente de vincular.</x:v>
      </x:c>
      <x:c r="O25" s="11" t="str">
        <x:v>Pendiente de vincular evidencia de la tarea</x:v>
      </x:c>
      <x:c r="P25" s="11" t="str">
        <x:v>Completado</x:v>
      </x:c>
      <x:c r="Q25" s="12" t="str">
        <x:v>Sí</x:v>
      </x:c>
      <x:c r="R25" s="13" t="d">
        <x:v>2026-08-26T12:00:00.000Z</x:v>
      </x:c>
      <x:c r="S25" s="12" t="n">
        <x:f>I25-J25</x:f>
        <x:v>1</x:v>
      </x:c>
    </x:row>
    <x:row r="26" ht="38" customHeight="1">
      <x:c r="A26" s="10" t="str">
        <x:v>SB1-018</x:v>
      </x:c>
      <x:c r="B26" s="10" t="str">
        <x:v>Sprint 1</x:v>
      </x:c>
      <x:c r="C26" s="10" t="str">
        <x:v>HU-005</x:v>
      </x:c>
      <x:c r="D26" s="10" t="str">
        <x:v>Diseñar o ajustar interfaz y mensajes para usuarios.</x:v>
      </x:c>
      <x:c r="E26" s="10" t="str">
        <x:v>Vicente Palma</x:v>
      </x:c>
      <x:c r="F26" s="10" t="str">
        <x:v>HU-002</x:v>
      </x:c>
      <x:c r="G26" s="10" t="str">
        <x:v>Vista o flujo revisado, campos y mensajes definidos y comportamiento móvil considerado.</x:v>
      </x:c>
      <x:c r="H26" s="11" t="str">
        <x:v>Terminado</x:v>
      </x:c>
      <x:c r="I26" s="12" t="n">
        <x:v>1</x:v>
      </x:c>
      <x:c r="J26" s="12" t="n">
        <x:v>0</x:v>
      </x:c>
      <x:c r="K26" s="13" t="d">
        <x:v>2026-08-27T12:00:00.000Z</x:v>
      </x:c>
      <x:c r="L26" s="13" t="d">
        <x:v>2026-08-27T12:00:00.000Z</x:v>
      </x:c>
      <x:c r="M26" s="11" t="str">
        <x:v>Sí</x:v>
      </x:c>
      <x:c r="N26" s="11" t="str">
        <x:v>Cierre y DoD registrados según Product Backlog. Evidencia de tarea pendiente de vincular.</x:v>
      </x:c>
      <x:c r="O26" s="11" t="str">
        <x:v>Pendiente de vincular evidencia de la tarea</x:v>
      </x:c>
      <x:c r="P26" s="11" t="str">
        <x:v>Completado</x:v>
      </x:c>
      <x:c r="Q26" s="12" t="str">
        <x:v>Sí</x:v>
      </x:c>
      <x:c r="R26" s="13" t="d">
        <x:v>2026-08-27T12:00:00.000Z</x:v>
      </x:c>
      <x:c r="S26" s="12" t="n">
        <x:f>I26-J26</x:f>
        <x:v>1</x:v>
      </x:c>
    </x:row>
    <x:row r="27" ht="38" customHeight="1">
      <x:c r="A27" s="6" t="str">
        <x:v>SB1-019</x:v>
      </x:c>
      <x:c r="B27" s="6" t="str">
        <x:v>Sprint 1</x:v>
      </x:c>
      <x:c r="C27" s="6" t="str">
        <x:v>HU-005</x:v>
      </x:c>
      <x:c r="D27" s="6" t="str">
        <x:v>Implementar la función para consultar y actualizar los datos de su cuenta.</x:v>
      </x:c>
      <x:c r="E27" s="6" t="str">
        <x:v>Alonso Urrutia</x:v>
      </x:c>
      <x:c r="F27" s="6" t="str">
        <x:v>SB1-018</x:v>
      </x:c>
      <x:c r="G27" s="6" t="str">
        <x:v>Datos visibles; campos editables validados; cambios persistentes; mensajes de confirmación.</x:v>
      </x:c>
      <x:c r="H27" s="11" t="str">
        <x:v>Terminado</x:v>
      </x:c>
      <x:c r="I27" s="12" t="n">
        <x:v>1.5</x:v>
      </x:c>
      <x:c r="J27" s="12" t="n">
        <x:v>0</x:v>
      </x:c>
      <x:c r="K27" s="13" t="d">
        <x:v>2026-08-27T12:00:00.000Z</x:v>
      </x:c>
      <x:c r="L27" s="13" t="d">
        <x:v>2026-08-27T12:00:00.000Z</x:v>
      </x:c>
      <x:c r="M27" s="11" t="str">
        <x:v>Sí</x:v>
      </x:c>
      <x:c r="N27" s="11" t="str">
        <x:v>Cierre y DoD registrados según Product Backlog. Evidencia de tarea pendiente de vincular.</x:v>
      </x:c>
      <x:c r="O27" s="11" t="str">
        <x:v>Pendiente de vincular evidencia de la tarea</x:v>
      </x:c>
      <x:c r="P27" s="11" t="str">
        <x:v>Completado</x:v>
      </x:c>
      <x:c r="Q27" s="12" t="str">
        <x:v>Sí</x:v>
      </x:c>
      <x:c r="R27" s="13" t="d">
        <x:v>2026-08-27T12:00:00.000Z</x:v>
      </x:c>
      <x:c r="S27" s="12" t="n">
        <x:f>I27-J27</x:f>
        <x:v>1.5</x:v>
      </x:c>
    </x:row>
    <x:row r="28" ht="49" customHeight="1">
      <x:c r="A28" s="10" t="str">
        <x:v>SB1-020</x:v>
      </x:c>
      <x:c r="B28" s="10" t="str">
        <x:v>Sprint 1</x:v>
      </x:c>
      <x:c r="C28" s="10" t="str">
        <x:v>HU-005</x:v>
      </x:c>
      <x:c r="D28" s="10" t="str">
        <x:v>Verificar criterios de aceptación, permisos y casos negativos de HU-005.</x:v>
      </x:c>
      <x:c r="E28" s="10" t="str">
        <x:v>Franco Miranda</x:v>
      </x:c>
      <x:c r="F28" s="10" t="str">
        <x:v>SB1-019</x:v>
      </x:c>
      <x:c r="G28" s="10" t="str">
        <x:v>Casos ejecutados y evidencia vinculada; defectos clasificados; criterios del PBI verificados: Datos visibles; campos editables validados; cambios persistentes; mensajes de confirmación.</x:v>
      </x:c>
      <x:c r="H28" s="11" t="str">
        <x:v>Terminado</x:v>
      </x:c>
      <x:c r="I28" s="12" t="n">
        <x:v>1</x:v>
      </x:c>
      <x:c r="J28" s="12" t="n">
        <x:v>0</x:v>
      </x:c>
      <x:c r="K28" s="13" t="d">
        <x:v>2026-08-27T12:00:00.000Z</x:v>
      </x:c>
      <x:c r="L28" s="13" t="d">
        <x:v>2026-08-27T12:00:00.000Z</x:v>
      </x:c>
      <x:c r="M28" s="11" t="str">
        <x:v>Sí</x:v>
      </x:c>
      <x:c r="N28" s="11" t="str">
        <x:v>Cierre y DoD registrados según Product Backlog. Evidencia de tarea pendiente de vincular.</x:v>
      </x:c>
      <x:c r="O28" s="11" t="str">
        <x:v>Pendiente de vincular evidencia de la tarea</x:v>
      </x:c>
      <x:c r="P28" s="11" t="str">
        <x:v>Completado</x:v>
      </x:c>
      <x:c r="Q28" s="12" t="str">
        <x:v>Sí</x:v>
      </x:c>
      <x:c r="R28" s="13" t="d">
        <x:v>2026-08-27T12:00:00.000Z</x:v>
      </x:c>
      <x:c r="S28" s="12" t="n">
        <x:f>I28-J28</x:f>
        <x:v>1</x:v>
      </x:c>
    </x:row>
    <x:row r="29" ht="38" customHeight="1">
      <x:c r="A29" s="6" t="str">
        <x:v>SB1-021</x:v>
      </x:c>
      <x:c r="B29" s="6" t="str">
        <x:v>Sprint 1</x:v>
      </x:c>
      <x:c r="C29" s="6" t="str">
        <x:v>HU-006</x:v>
      </x:c>
      <x:c r="D29" s="6" t="str">
        <x:v>Diseñar o ajustar interfaz y mensajes para catálogo.</x:v>
      </x:c>
      <x:c r="E29" s="6" t="str">
        <x:v>Vicente Palma</x:v>
      </x:c>
      <x:c r="F29" s="6" t="str">
        <x:v>HU-001</x:v>
      </x:c>
      <x:c r="G29" s="6" t="str">
        <x:v>Vista o flujo revisado, campos y mensajes definidos y comportamiento móvil considerado.</x:v>
      </x:c>
      <x:c r="H29" s="11" t="str">
        <x:v>Terminado</x:v>
      </x:c>
      <x:c r="I29" s="12" t="n">
        <x:v>1.5</x:v>
      </x:c>
      <x:c r="J29" s="12" t="n">
        <x:v>0</x:v>
      </x:c>
      <x:c r="K29" s="13" t="d">
        <x:v>2026-08-28T12:00:00.000Z</x:v>
      </x:c>
      <x:c r="L29" s="13" t="d">
        <x:v>2026-08-28T12:00:00.000Z</x:v>
      </x:c>
      <x:c r="M29" s="11" t="str">
        <x:v>Sí</x:v>
      </x:c>
      <x:c r="N29" s="11" t="str">
        <x:v>Cierre y DoD registrados según Product Backlog. Evidencia de tarea pendiente de vincular.</x:v>
      </x:c>
      <x:c r="O29" s="11" t="str">
        <x:v>Pendiente de vincular evidencia de la tarea</x:v>
      </x:c>
      <x:c r="P29" s="11" t="str">
        <x:v>Completado</x:v>
      </x:c>
      <x:c r="Q29" s="12" t="str">
        <x:v>Sí</x:v>
      </x:c>
      <x:c r="R29" s="13" t="d">
        <x:v>2026-08-28T12:00:00.000Z</x:v>
      </x:c>
      <x:c r="S29" s="12" t="n">
        <x:f>I29-J29</x:f>
        <x:v>1.5</x:v>
      </x:c>
    </x:row>
    <x:row r="30" ht="38" customHeight="1">
      <x:c r="A30" s="10" t="str">
        <x:v>SB1-022</x:v>
      </x:c>
      <x:c r="B30" s="10" t="str">
        <x:v>Sprint 1</x:v>
      </x:c>
      <x:c r="C30" s="10" t="str">
        <x:v>HU-006</x:v>
      </x:c>
      <x:c r="D30" s="10" t="str">
        <x:v>Implementar la función para buscar y filtrar productos.</x:v>
      </x:c>
      <x:c r="E30" s="10" t="str">
        <x:v>Alonso Urrutia</x:v>
      </x:c>
      <x:c r="F30" s="10" t="str">
        <x:v>SB1-021</x:v>
      </x:c>
      <x:c r="G30" s="10" t="str">
        <x:v>Listado paginado; búsqueda por texto; filtros por categoría; solo productos publicados visibles.</x:v>
      </x:c>
      <x:c r="H30" s="11" t="str">
        <x:v>Terminado</x:v>
      </x:c>
      <x:c r="I30" s="12" t="n">
        <x:v>4</x:v>
      </x:c>
      <x:c r="J30" s="12" t="n">
        <x:v>0</x:v>
      </x:c>
      <x:c r="K30" s="13" t="d">
        <x:v>2026-08-31T12:00:00.000Z</x:v>
      </x:c>
      <x:c r="L30" s="13" t="d">
        <x:v>2026-08-31T12:00:00.000Z</x:v>
      </x:c>
      <x:c r="M30" s="11" t="str">
        <x:v>Sí</x:v>
      </x:c>
      <x:c r="N30" s="11" t="str">
        <x:v>Cierre y DoD registrados según Product Backlog. Evidencia de tarea pendiente de vincular.</x:v>
      </x:c>
      <x:c r="O30" s="11" t="str">
        <x:v>Pendiente de vincular evidencia de la tarea</x:v>
      </x:c>
      <x:c r="P30" s="11" t="str">
        <x:v>Completado</x:v>
      </x:c>
      <x:c r="Q30" s="12" t="str">
        <x:v>Sí</x:v>
      </x:c>
      <x:c r="R30" s="13" t="d">
        <x:v>2026-08-28T12:00:00.000Z</x:v>
      </x:c>
      <x:c r="S30" s="12" t="n">
        <x:f>I30-J30</x:f>
        <x:v>4</x:v>
      </x:c>
    </x:row>
    <x:row r="31" ht="49" customHeight="1">
      <x:c r="A31" s="6" t="str">
        <x:v>SB1-023</x:v>
      </x:c>
      <x:c r="B31" s="6" t="str">
        <x:v>Sprint 1</x:v>
      </x:c>
      <x:c r="C31" s="6" t="str">
        <x:v>HU-006</x:v>
      </x:c>
      <x:c r="D31" s="6" t="str">
        <x:v>Verificar criterios de aceptación, permisos y casos negativos de HU-006.</x:v>
      </x:c>
      <x:c r="E31" s="6" t="str">
        <x:v>Franco Miranda</x:v>
      </x:c>
      <x:c r="F31" s="6" t="str">
        <x:v>SB1-022</x:v>
      </x:c>
      <x:c r="G31" s="6" t="str">
        <x:v>Casos ejecutados y evidencia vinculada; defectos clasificados; criterios del PBI verificados: Listado paginado; búsqueda por texto; filtros por categoría; solo productos publicados visibles.</x:v>
      </x:c>
      <x:c r="H31" s="11" t="str">
        <x:v>Terminado</x:v>
      </x:c>
      <x:c r="I31" s="12" t="n">
        <x:v>1.5</x:v>
      </x:c>
      <x:c r="J31" s="12" t="n">
        <x:v>0</x:v>
      </x:c>
      <x:c r="K31" s="13" t="d">
        <x:v>2026-08-31T12:00:00.000Z</x:v>
      </x:c>
      <x:c r="L31" s="13" t="d">
        <x:v>2026-08-31T12:00:00.000Z</x:v>
      </x:c>
      <x:c r="M31" s="11" t="str">
        <x:v>Sí</x:v>
      </x:c>
      <x:c r="N31" s="11" t="str">
        <x:v>Cierre y DoD registrados según Product Backlog. Evidencia de tarea pendiente de vincular.</x:v>
      </x:c>
      <x:c r="O31" s="11" t="str">
        <x:v>Pendiente de vincular evidencia de la tarea</x:v>
      </x:c>
      <x:c r="P31" s="11" t="str">
        <x:v>Completado</x:v>
      </x:c>
      <x:c r="Q31" s="12" t="str">
        <x:v>Sí</x:v>
      </x:c>
      <x:c r="R31" s="13" t="d">
        <x:v>2026-08-31T12:00:00.000Z</x:v>
      </x:c>
      <x:c r="S31" s="12" t="n">
        <x:f>I31-J31</x:f>
        <x:v>1.5</x:v>
      </x:c>
    </x:row>
    <x:row r="32" ht="38" customHeight="1">
      <x:c r="A32" s="10" t="str">
        <x:v>SB1-024</x:v>
      </x:c>
      <x:c r="B32" s="10" t="str">
        <x:v>Sprint 1</x:v>
      </x:c>
      <x:c r="C32" s="10" t="str">
        <x:v>HU-007</x:v>
      </x:c>
      <x:c r="D32" s="10" t="str">
        <x:v>Diseñar o ajustar interfaz y mensajes para catálogo.</x:v>
      </x:c>
      <x:c r="E32" s="10" t="str">
        <x:v>Vicente Palma</x:v>
      </x:c>
      <x:c r="F32" s="10" t="str">
        <x:v>HU-006</x:v>
      </x:c>
      <x:c r="G32" s="10" t="str">
        <x:v>Vista o flujo revisado, campos y mensajes definidos y comportamiento móvil considerado.</x:v>
      </x:c>
      <x:c r="H32" s="11" t="str">
        <x:v>Terminado</x:v>
      </x:c>
      <x:c r="I32" s="12" t="n">
        <x:v>1</x:v>
      </x:c>
      <x:c r="J32" s="12" t="n">
        <x:v>0</x:v>
      </x:c>
      <x:c r="K32" s="13" t="d">
        <x:v>2026-09-01T12:00:00.000Z</x:v>
      </x:c>
      <x:c r="L32" s="13" t="d">
        <x:v>2026-09-01T12:00:00.000Z</x:v>
      </x:c>
      <x:c r="M32" s="11" t="str">
        <x:v>Sí</x:v>
      </x:c>
      <x:c r="N32" s="11" t="str">
        <x:v>Cierre y DoD registrados según Product Backlog. Evidencia de tarea pendiente de vincular.</x:v>
      </x:c>
      <x:c r="O32" s="11" t="str">
        <x:v>Pendiente de vincular evidencia de la tarea</x:v>
      </x:c>
      <x:c r="P32" s="11" t="str">
        <x:v>Completado</x:v>
      </x:c>
      <x:c r="Q32" s="12" t="str">
        <x:v>Sí</x:v>
      </x:c>
      <x:c r="R32" s="13" t="d">
        <x:v>2026-09-01T12:00:00.000Z</x:v>
      </x:c>
      <x:c r="S32" s="12" t="n">
        <x:f>I32-J32</x:f>
        <x:v>1</x:v>
      </x:c>
    </x:row>
    <x:row r="33" ht="38" customHeight="1">
      <x:c r="A33" s="6" t="str">
        <x:v>SB1-025</x:v>
      </x:c>
      <x:c r="B33" s="6" t="str">
        <x:v>Sprint 1</x:v>
      </x:c>
      <x:c r="C33" s="6" t="str">
        <x:v>HU-007</x:v>
      </x:c>
      <x:c r="D33" s="6" t="str">
        <x:v>Implementar la función para revisar la ficha de un producto.</x:v>
      </x:c>
      <x:c r="E33" s="6" t="str">
        <x:v>Alonso Urrutia</x:v>
      </x:c>
      <x:c r="F33" s="6" t="str">
        <x:v>SB1-024</x:v>
      </x:c>
      <x:c r="G33" s="6" t="str">
        <x:v>Ficha completa; imágenes visibles; precio y oferta correctos; disponibilidad informada.</x:v>
      </x:c>
      <x:c r="H33" s="11" t="str">
        <x:v>Terminado</x:v>
      </x:c>
      <x:c r="I33" s="12" t="n">
        <x:v>2.5</x:v>
      </x:c>
      <x:c r="J33" s="12" t="n">
        <x:v>0</x:v>
      </x:c>
      <x:c r="K33" s="13" t="d">
        <x:v>2026-09-01T12:00:00.000Z</x:v>
      </x:c>
      <x:c r="L33" s="13" t="d">
        <x:v>2026-09-01T12:00:00.000Z</x:v>
      </x:c>
      <x:c r="M33" s="11" t="str">
        <x:v>Sí</x:v>
      </x:c>
      <x:c r="N33" s="11" t="str">
        <x:v>Cierre y DoD registrados según Product Backlog. Evidencia de tarea pendiente de vincular.</x:v>
      </x:c>
      <x:c r="O33" s="11" t="str">
        <x:v>Pendiente de vincular evidencia de la tarea</x:v>
      </x:c>
      <x:c r="P33" s="11" t="str">
        <x:v>Completado</x:v>
      </x:c>
      <x:c r="Q33" s="12" t="str">
        <x:v>Sí</x:v>
      </x:c>
      <x:c r="R33" s="13" t="d">
        <x:v>2026-09-01T12:00:00.000Z</x:v>
      </x:c>
      <x:c r="S33" s="12" t="n">
        <x:f>I33-J33</x:f>
        <x:v>2.5</x:v>
      </x:c>
    </x:row>
    <x:row r="34" ht="49" customHeight="1">
      <x:c r="A34" s="10" t="str">
        <x:v>SB1-026</x:v>
      </x:c>
      <x:c r="B34" s="10" t="str">
        <x:v>Sprint 1</x:v>
      </x:c>
      <x:c r="C34" s="10" t="str">
        <x:v>HU-007</x:v>
      </x:c>
      <x:c r="D34" s="10" t="str">
        <x:v>Verificar criterios de aceptación, permisos y casos negativos de HU-007.</x:v>
      </x:c>
      <x:c r="E34" s="10" t="str">
        <x:v>Franco Miranda</x:v>
      </x:c>
      <x:c r="F34" s="10" t="str">
        <x:v>SB1-025</x:v>
      </x:c>
      <x:c r="G34" s="10" t="str">
        <x:v>Casos ejecutados y evidencia vinculada; defectos clasificados; criterios del PBI verificados: Ficha completa; imágenes visibles; precio y oferta correctos; disponibilidad informada.</x:v>
      </x:c>
      <x:c r="H34" s="11" t="str">
        <x:v>Terminado</x:v>
      </x:c>
      <x:c r="I34" s="12" t="n">
        <x:v>1</x:v>
      </x:c>
      <x:c r="J34" s="12" t="n">
        <x:v>0</x:v>
      </x:c>
      <x:c r="K34" s="13" t="d">
        <x:v>2026-09-02T12:00:00.000Z</x:v>
      </x:c>
      <x:c r="L34" s="13" t="d">
        <x:v>2026-09-02T12:00:00.000Z</x:v>
      </x:c>
      <x:c r="M34" s="11" t="str">
        <x:v>Sí</x:v>
      </x:c>
      <x:c r="N34" s="11" t="str">
        <x:v>Cierre y DoD registrados según Product Backlog. Evidencia de tarea pendiente de vincular.</x:v>
      </x:c>
      <x:c r="O34" s="11" t="str">
        <x:v>Pendiente de vincular evidencia de la tarea</x:v>
      </x:c>
      <x:c r="P34" s="11" t="str">
        <x:v>Completado</x:v>
      </x:c>
      <x:c r="Q34" s="12" t="str">
        <x:v>Sí</x:v>
      </x:c>
      <x:c r="R34" s="13" t="d">
        <x:v>2026-09-01T12:00:00.000Z</x:v>
      </x:c>
      <x:c r="S34" s="12" t="n">
        <x:f>I34-J34</x:f>
        <x:v>1</x:v>
      </x:c>
    </x:row>
    <x:row r="35" ht="38" customHeight="1">
      <x:c r="A35" s="6" t="str">
        <x:v>SB1-027</x:v>
      </x:c>
      <x:c r="B35" s="6" t="str">
        <x:v>Sprint 1</x:v>
      </x:c>
      <x:c r="C35" s="6" t="str">
        <x:v>HU-008</x:v>
      </x:c>
      <x:c r="D35" s="6" t="str">
        <x:v>Diseñar o ajustar interfaz y mensajes para catálogo.</x:v>
      </x:c>
      <x:c r="E35" s="6" t="str">
        <x:v>Vicente Palma</x:v>
      </x:c>
      <x:c r="F35" s="6" t="str">
        <x:v>HU-004</x:v>
      </x:c>
      <x:c r="G35" s="6" t="str">
        <x:v>Vista o flujo revisado, campos y mensajes definidos y comportamiento móvil considerado.</x:v>
      </x:c>
      <x:c r="H35" s="11" t="str">
        <x:v>Terminado</x:v>
      </x:c>
      <x:c r="I35" s="12" t="n">
        <x:v>1.5</x:v>
      </x:c>
      <x:c r="J35" s="12" t="n">
        <x:v>0</x:v>
      </x:c>
      <x:c r="K35" s="13" t="d">
        <x:v>2026-09-02T12:00:00.000Z</x:v>
      </x:c>
      <x:c r="L35" s="13" t="d">
        <x:v>2026-09-02T12:00:00.000Z</x:v>
      </x:c>
      <x:c r="M35" s="11" t="str">
        <x:v>Sí</x:v>
      </x:c>
      <x:c r="N35" s="11" t="str">
        <x:v>Cierre y DoD registrados según Product Backlog. Evidencia de tarea pendiente de vincular.</x:v>
      </x:c>
      <x:c r="O35" s="11" t="str">
        <x:v>Pendiente de vincular evidencia de la tarea</x:v>
      </x:c>
      <x:c r="P35" s="11" t="str">
        <x:v>Completado</x:v>
      </x:c>
      <x:c r="Q35" s="12" t="str">
        <x:v>Sí</x:v>
      </x:c>
      <x:c r="R35" s="13" t="d">
        <x:v>2026-09-02T12:00:00.000Z</x:v>
      </x:c>
      <x:c r="S35" s="12" t="n">
        <x:f>I35-J35</x:f>
        <x:v>1.5</x:v>
      </x:c>
    </x:row>
    <x:row r="36" ht="38" customHeight="1">
      <x:c r="A36" s="10" t="str">
        <x:v>SB1-028</x:v>
      </x:c>
      <x:c r="B36" s="10" t="str">
        <x:v>Sprint 1</x:v>
      </x:c>
      <x:c r="C36" s="10" t="str">
        <x:v>HU-008</x:v>
      </x:c>
      <x:c r="D36" s="10" t="str">
        <x:v>Implementar la función para crear y editar productos.</x:v>
      </x:c>
      <x:c r="E36" s="10" t="str">
        <x:v>Alonso Urrutia</x:v>
      </x:c>
      <x:c r="F36" s="10" t="str">
        <x:v>SB1-027</x:v>
      </x:c>
      <x:c r="G36" s="10" t="str">
        <x:v>Alta y edición disponibles; imágenes cargables; datos obligatorios validados; publicación controlada.</x:v>
      </x:c>
      <x:c r="H36" s="11" t="str">
        <x:v>Terminado</x:v>
      </x:c>
      <x:c r="I36" s="12" t="n">
        <x:v>4</x:v>
      </x:c>
      <x:c r="J36" s="12" t="n">
        <x:v>0</x:v>
      </x:c>
      <x:c r="K36" s="13" t="d">
        <x:v>2026-09-03T12:00:00.000Z</x:v>
      </x:c>
      <x:c r="L36" s="13" t="d">
        <x:v>2026-09-03T12:00:00.000Z</x:v>
      </x:c>
      <x:c r="M36" s="11" t="str">
        <x:v>Sí</x:v>
      </x:c>
      <x:c r="N36" s="11" t="str">
        <x:v>Cierre y DoD registrados según Product Backlog. Evidencia de tarea pendiente de vincular.</x:v>
      </x:c>
      <x:c r="O36" s="11" t="str">
        <x:v>Pendiente de vincular evidencia de la tarea</x:v>
      </x:c>
      <x:c r="P36" s="11" t="str">
        <x:v>Completado</x:v>
      </x:c>
      <x:c r="Q36" s="12" t="str">
        <x:v>Sí</x:v>
      </x:c>
      <x:c r="R36" s="13" t="d">
        <x:v>2026-09-02T12:00:00.000Z</x:v>
      </x:c>
      <x:c r="S36" s="12" t="n">
        <x:f>I36-J36</x:f>
        <x:v>4</x:v>
      </x:c>
    </x:row>
    <x:row r="37" ht="49" customHeight="1">
      <x:c r="A37" s="6" t="str">
        <x:v>SB1-029</x:v>
      </x:c>
      <x:c r="B37" s="6" t="str">
        <x:v>Sprint 1</x:v>
      </x:c>
      <x:c r="C37" s="6" t="str">
        <x:v>HU-008</x:v>
      </x:c>
      <x:c r="D37" s="6" t="str">
        <x:v>Verificar criterios de aceptación, permisos y casos negativos de HU-008.</x:v>
      </x:c>
      <x:c r="E37" s="6" t="str">
        <x:v>Franco Miranda</x:v>
      </x:c>
      <x:c r="F37" s="6" t="str">
        <x:v>SB1-028</x:v>
      </x:c>
      <x:c r="G37" s="6" t="str">
        <x:v>Casos ejecutados y evidencia vinculada; defectos clasificados; criterios del PBI verificados: Alta y edición disponibles; imágenes cargables; datos obligatorios validados; publicación controlada.</x:v>
      </x:c>
      <x:c r="H37" s="11" t="str">
        <x:v>Terminado</x:v>
      </x:c>
      <x:c r="I37" s="12" t="n">
        <x:v>1.5</x:v>
      </x:c>
      <x:c r="J37" s="12" t="n">
        <x:v>0</x:v>
      </x:c>
      <x:c r="K37" s="13" t="d">
        <x:v>2026-09-03T12:00:00.000Z</x:v>
      </x:c>
      <x:c r="L37" s="13" t="d">
        <x:v>2026-09-03T12:00:00.000Z</x:v>
      </x:c>
      <x:c r="M37" s="11" t="str">
        <x:v>Sí</x:v>
      </x:c>
      <x:c r="N37" s="11" t="str">
        <x:v>Cierre y DoD registrados según Product Backlog. Evidencia de tarea pendiente de vincular.</x:v>
      </x:c>
      <x:c r="O37" s="11" t="str">
        <x:v>Pendiente de vincular evidencia de la tarea</x:v>
      </x:c>
      <x:c r="P37" s="11" t="str">
        <x:v>Completado</x:v>
      </x:c>
      <x:c r="Q37" s="12" t="str">
        <x:v>Sí</x:v>
      </x:c>
      <x:c r="R37" s="13" t="d">
        <x:v>2026-09-03T12:00:00.000Z</x:v>
      </x:c>
      <x:c r="S37" s="12" t="n">
        <x:f>I37-J37</x:f>
        <x:v>1.5</x:v>
      </x:c>
    </x:row>
    <x:row r="38" ht="38" customHeight="1">
      <x:c r="A38" s="10" t="str">
        <x:v>SB1-030</x:v>
      </x:c>
      <x:c r="B38" s="10" t="str">
        <x:v>Sprint 1</x:v>
      </x:c>
      <x:c r="C38" s="10" t="str">
        <x:v>HU-009</x:v>
      </x:c>
      <x:c r="D38" s="10" t="str">
        <x:v>Diseñar o ajustar interfaz y mensajes para catálogo.</x:v>
      </x:c>
      <x:c r="E38" s="10" t="str">
        <x:v>Vicente Palma</x:v>
      </x:c>
      <x:c r="F38" s="10" t="str">
        <x:v>HU-008</x:v>
      </x:c>
      <x:c r="G38" s="10" t="str">
        <x:v>Vista o flujo revisado, campos y mensajes definidos y comportamiento móvil considerado.</x:v>
      </x:c>
      <x:c r="H38" s="11" t="str">
        <x:v>Terminado</x:v>
      </x:c>
      <x:c r="I38" s="12" t="n">
        <x:v>1</x:v>
      </x:c>
      <x:c r="J38" s="12" t="n">
        <x:v>0</x:v>
      </x:c>
      <x:c r="K38" s="13" t="d">
        <x:v>2026-09-03T12:00:00.000Z</x:v>
      </x:c>
      <x:c r="L38" s="13" t="d">
        <x:v>2026-09-03T12:00:00.000Z</x:v>
      </x:c>
      <x:c r="M38" s="11" t="str">
        <x:v>Sí</x:v>
      </x:c>
      <x:c r="N38" s="11" t="str">
        <x:v>Cierre y DoD registrados según Product Backlog. Evidencia de tarea pendiente de vincular.</x:v>
      </x:c>
      <x:c r="O38" s="11" t="str">
        <x:v>Pendiente de vincular evidencia de la tarea</x:v>
      </x:c>
      <x:c r="P38" s="11" t="str">
        <x:v>Completado</x:v>
      </x:c>
      <x:c r="Q38" s="12" t="str">
        <x:v>Sí</x:v>
      </x:c>
      <x:c r="R38" s="13" t="d">
        <x:v>2026-09-03T12:00:00.000Z</x:v>
      </x:c>
      <x:c r="S38" s="12" t="n">
        <x:f>I38-J38</x:f>
        <x:v>1</x:v>
      </x:c>
    </x:row>
    <x:row r="39" ht="38" customHeight="1">
      <x:c r="A39" s="6" t="str">
        <x:v>SB1-031</x:v>
      </x:c>
      <x:c r="B39" s="6" t="str">
        <x:v>Sprint 1</x:v>
      </x:c>
      <x:c r="C39" s="6" t="str">
        <x:v>HU-009</x:v>
      </x:c>
      <x:c r="D39" s="6" t="str">
        <x:v>Implementar la función para gestionar categorías y ofertas.</x:v>
      </x:c>
      <x:c r="E39" s="6" t="str">
        <x:v>Alonso Urrutia</x:v>
      </x:c>
      <x:c r="F39" s="6" t="str">
        <x:v>SB1-030</x:v>
      </x:c>
      <x:c r="G39" s="6" t="str">
        <x:v>Categorías administrables; ofertas con vigencia; precios coherentes; cambios visibles en catálogo.</x:v>
      </x:c>
      <x:c r="H39" s="11" t="str">
        <x:v>Terminado</x:v>
      </x:c>
      <x:c r="I39" s="12" t="n">
        <x:v>2.5</x:v>
      </x:c>
      <x:c r="J39" s="12" t="n">
        <x:v>0</x:v>
      </x:c>
      <x:c r="K39" s="13" t="d">
        <x:v>2026-09-04T12:00:00.000Z</x:v>
      </x:c>
      <x:c r="L39" s="13" t="d">
        <x:v>2026-09-04T12:00:00.000Z</x:v>
      </x:c>
      <x:c r="M39" s="11" t="str">
        <x:v>Sí</x:v>
      </x:c>
      <x:c r="N39" s="11" t="str">
        <x:v>Cierre y DoD registrados según Product Backlog. Evidencia de tarea pendiente de vincular.</x:v>
      </x:c>
      <x:c r="O39" s="11" t="str">
        <x:v>Pendiente de vincular evidencia de la tarea</x:v>
      </x:c>
      <x:c r="P39" s="11" t="str">
        <x:v>Completado</x:v>
      </x:c>
      <x:c r="Q39" s="12" t="str">
        <x:v>Sí</x:v>
      </x:c>
      <x:c r="R39" s="13" t="d">
        <x:v>2026-09-04T12:00:00.000Z</x:v>
      </x:c>
      <x:c r="S39" s="12" t="n">
        <x:f>I39-J39</x:f>
        <x:v>2.5</x:v>
      </x:c>
    </x:row>
    <x:row r="40" ht="49" customHeight="1">
      <x:c r="A40" s="10" t="str">
        <x:v>SB1-032</x:v>
      </x:c>
      <x:c r="B40" s="10" t="str">
        <x:v>Sprint 1</x:v>
      </x:c>
      <x:c r="C40" s="10" t="str">
        <x:v>HU-009</x:v>
      </x:c>
      <x:c r="D40" s="10" t="str">
        <x:v>Verificar criterios de aceptación, permisos y casos negativos de HU-009.</x:v>
      </x:c>
      <x:c r="E40" s="10" t="str">
        <x:v>Franco Miranda</x:v>
      </x:c>
      <x:c r="F40" s="10" t="str">
        <x:v>SB1-031</x:v>
      </x:c>
      <x:c r="G40" s="10" t="str">
        <x:v>Casos ejecutados y evidencia vinculada; defectos clasificados; criterios del PBI verificados: Categorías administrables; ofertas con vigencia; precios coherentes; cambios visibles en catálogo.</x:v>
      </x:c>
      <x:c r="H40" s="11" t="str">
        <x:v>Terminado</x:v>
      </x:c>
      <x:c r="I40" s="12" t="n">
        <x:v>1</x:v>
      </x:c>
      <x:c r="J40" s="12" t="n">
        <x:v>0</x:v>
      </x:c>
      <x:c r="K40" s="13" t="d">
        <x:v>2026-09-04T12:00:00.000Z</x:v>
      </x:c>
      <x:c r="L40" s="13" t="d">
        <x:v>2026-09-04T12:00:00.000Z</x:v>
      </x:c>
      <x:c r="M40" s="11" t="str">
        <x:v>Sí</x:v>
      </x:c>
      <x:c r="N40" s="11" t="str">
        <x:v>Cierre y DoD registrados según Product Backlog. Evidencia de tarea pendiente de vincular.</x:v>
      </x:c>
      <x:c r="O40" s="11" t="str">
        <x:v>Pendiente de vincular evidencia de la tarea</x:v>
      </x:c>
      <x:c r="P40" s="11" t="str">
        <x:v>Completado</x:v>
      </x:c>
      <x:c r="Q40" s="12" t="str">
        <x:v>Sí</x:v>
      </x:c>
      <x:c r="R40" s="13" t="d">
        <x:v>2026-09-04T12:00:00.000Z</x:v>
      </x:c>
      <x:c r="S40" s="12" t="n">
        <x:f>I40-J40</x:f>
        <x:v>1</x:v>
      </x:c>
    </x:row>
    <x:row r="41" ht="38" customHeight="1">
      <x:c r="A41" s="6" t="str">
        <x:v>SB1-033</x:v>
      </x:c>
      <x:c r="B41" s="6" t="str">
        <x:v>Sprint 1</x:v>
      </x:c>
      <x:c r="C41" s="6" t="str">
        <x:v>HU-013</x:v>
      </x:c>
      <x:c r="D41" s="6" t="str">
        <x:v>Diseñar o ajustar interfaz y mensajes para carrito.</x:v>
      </x:c>
      <x:c r="E41" s="6" t="str">
        <x:v>Vicente Palma</x:v>
      </x:c>
      <x:c r="F41" s="6" t="str">
        <x:v>HU-006, HU-007</x:v>
      </x:c>
      <x:c r="G41" s="6" t="str">
        <x:v>Vista o flujo revisado, campos y mensajes definidos y comportamiento móvil considerado.</x:v>
      </x:c>
      <x:c r="H41" s="11" t="str">
        <x:v>Terminado</x:v>
      </x:c>
      <x:c r="I41" s="12" t="n">
        <x:v>1</x:v>
      </x:c>
      <x:c r="J41" s="12" t="n">
        <x:v>0</x:v>
      </x:c>
      <x:c r="K41" s="13" t="d">
        <x:v>2026-09-07T12:00:00.000Z</x:v>
      </x:c>
      <x:c r="L41" s="13" t="d">
        <x:v>2026-09-07T12:00:00.000Z</x:v>
      </x:c>
      <x:c r="M41" s="11" t="str">
        <x:v>Sí</x:v>
      </x:c>
      <x:c r="N41" s="11" t="str">
        <x:v>Cierre y DoD registrados según Product Backlog. Evidencia de tarea pendiente de vincular.</x:v>
      </x:c>
      <x:c r="O41" s="11" t="str">
        <x:v>Pendiente de vincular evidencia de la tarea</x:v>
      </x:c>
      <x:c r="P41" s="11" t="str">
        <x:v>Completado</x:v>
      </x:c>
      <x:c r="Q41" s="12" t="str">
        <x:v>Sí</x:v>
      </x:c>
      <x:c r="R41" s="13" t="d">
        <x:v>2026-09-07T12:00:00.000Z</x:v>
      </x:c>
      <x:c r="S41" s="12" t="n">
        <x:f>I41-J41</x:f>
        <x:v>1</x:v>
      </x:c>
    </x:row>
    <x:row r="42" ht="38" customHeight="1">
      <x:c r="A42" s="10" t="str">
        <x:v>SB1-034</x:v>
      </x:c>
      <x:c r="B42" s="10" t="str">
        <x:v>Sprint 1</x:v>
      </x:c>
      <x:c r="C42" s="10" t="str">
        <x:v>HU-013</x:v>
      </x:c>
      <x:c r="D42" s="10" t="str">
        <x:v>Implementar la función para agregar y eliminar productos del carrito.</x:v>
      </x:c>
      <x:c r="E42" s="10" t="str">
        <x:v>Alonso Urrutia</x:v>
      </x:c>
      <x:c r="F42" s="10" t="str">
        <x:v>SB1-033</x:v>
      </x:c>
      <x:c r="G42" s="10" t="str">
        <x:v>Agregar desde catálogo y ficha; eliminar producto; carrito asociado a sesión; contenido persistente.</x:v>
      </x:c>
      <x:c r="H42" s="11" t="str">
        <x:v>Terminado</x:v>
      </x:c>
      <x:c r="I42" s="12" t="n">
        <x:v>2.5</x:v>
      </x:c>
      <x:c r="J42" s="12" t="n">
        <x:v>0</x:v>
      </x:c>
      <x:c r="K42" s="13" t="d">
        <x:v>2026-09-07T12:00:00.000Z</x:v>
      </x:c>
      <x:c r="L42" s="13" t="d">
        <x:v>2026-09-07T12:00:00.000Z</x:v>
      </x:c>
      <x:c r="M42" s="11" t="str">
        <x:v>Sí</x:v>
      </x:c>
      <x:c r="N42" s="11" t="str">
        <x:v>Cierre y DoD registrados según Product Backlog. Evidencia de tarea pendiente de vincular.</x:v>
      </x:c>
      <x:c r="O42" s="11" t="str">
        <x:v>Pendiente de vincular evidencia de la tarea</x:v>
      </x:c>
      <x:c r="P42" s="11" t="str">
        <x:v>Completado</x:v>
      </x:c>
      <x:c r="Q42" s="12" t="str">
        <x:v>Sí</x:v>
      </x:c>
      <x:c r="R42" s="13" t="d">
        <x:v>2026-09-07T12:00:00.000Z</x:v>
      </x:c>
      <x:c r="S42" s="12" t="n">
        <x:f>I42-J42</x:f>
        <x:v>2.5</x:v>
      </x:c>
    </x:row>
    <x:row r="43" ht="49" customHeight="1">
      <x:c r="A43" s="6" t="str">
        <x:v>SB1-035</x:v>
      </x:c>
      <x:c r="B43" s="6" t="str">
        <x:v>Sprint 1</x:v>
      </x:c>
      <x:c r="C43" s="6" t="str">
        <x:v>HU-013</x:v>
      </x:c>
      <x:c r="D43" s="6" t="str">
        <x:v>Verificar criterios de aceptación, permisos y casos negativos de HU-013.</x:v>
      </x:c>
      <x:c r="E43" s="6" t="str">
        <x:v>Franco Miranda</x:v>
      </x:c>
      <x:c r="F43" s="6" t="str">
        <x:v>SB1-034</x:v>
      </x:c>
      <x:c r="G43" s="6" t="str">
        <x:v>Casos ejecutados y evidencia vinculada; defectos clasificados; criterios del PBI verificados: Agregar desde catálogo y ficha; eliminar producto; carrito asociado a sesión; contenido persistente.</x:v>
      </x:c>
      <x:c r="H43" s="11" t="str">
        <x:v>Terminado</x:v>
      </x:c>
      <x:c r="I43" s="12" t="n">
        <x:v>1</x:v>
      </x:c>
      <x:c r="J43" s="12" t="n">
        <x:v>0</x:v>
      </x:c>
      <x:c r="K43" s="13" t="d">
        <x:v>2026-09-08T12:00:00.000Z</x:v>
      </x:c>
      <x:c r="L43" s="13" t="d">
        <x:v>2026-09-08T12:00:00.000Z</x:v>
      </x:c>
      <x:c r="M43" s="11" t="str">
        <x:v>Sí</x:v>
      </x:c>
      <x:c r="N43" s="11" t="str">
        <x:v>Cierre y DoD registrados según Product Backlog. Evidencia de tarea pendiente de vincular.</x:v>
      </x:c>
      <x:c r="O43" s="11" t="str">
        <x:v>Pendiente de vincular evidencia de la tarea</x:v>
      </x:c>
      <x:c r="P43" s="11" t="str">
        <x:v>Completado</x:v>
      </x:c>
      <x:c r="Q43" s="12" t="str">
        <x:v>Sí</x:v>
      </x:c>
      <x:c r="R43" s="13" t="d">
        <x:v>2026-09-07T12:00:00.000Z</x:v>
      </x:c>
      <x:c r="S43" s="12" t="n">
        <x:f>I43-J43</x:f>
        <x:v>1</x:v>
      </x:c>
    </x:row>
    <x:row r="44" ht="38" customHeight="1">
      <x:c r="A44" s="10" t="str">
        <x:v>SB1-036</x:v>
      </x:c>
      <x:c r="B44" s="10" t="str">
        <x:v>Sprint 1</x:v>
      </x:c>
      <x:c r="C44" s="10" t="str">
        <x:v>HU-014</x:v>
      </x:c>
      <x:c r="D44" s="10" t="str">
        <x:v>Diseñar o ajustar interfaz y mensajes para carrito.</x:v>
      </x:c>
      <x:c r="E44" s="10" t="str">
        <x:v>Vicente Palma</x:v>
      </x:c>
      <x:c r="F44" s="10" t="str">
        <x:v>HU-013</x:v>
      </x:c>
      <x:c r="G44" s="10" t="str">
        <x:v>Vista o flujo revisado, campos y mensajes definidos y comportamiento móvil considerado.</x:v>
      </x:c>
      <x:c r="H44" s="11" t="str">
        <x:v>Terminado</x:v>
      </x:c>
      <x:c r="I44" s="12" t="n">
        <x:v>1</x:v>
      </x:c>
      <x:c r="J44" s="12" t="n">
        <x:v>0</x:v>
      </x:c>
      <x:c r="K44" s="13" t="d">
        <x:v>2026-09-08T12:00:00.000Z</x:v>
      </x:c>
      <x:c r="L44" s="13" t="d">
        <x:v>2026-09-08T12:00:00.000Z</x:v>
      </x:c>
      <x:c r="M44" s="11" t="str">
        <x:v>Sí</x:v>
      </x:c>
      <x:c r="N44" s="11" t="str">
        <x:v>Cierre y DoD registrados según Product Backlog. Evidencia de tarea pendiente de vincular.</x:v>
      </x:c>
      <x:c r="O44" s="11" t="str">
        <x:v>Pendiente de vincular evidencia de la tarea</x:v>
      </x:c>
      <x:c r="P44" s="11" t="str">
        <x:v>Completado</x:v>
      </x:c>
      <x:c r="Q44" s="12" t="str">
        <x:v>Sí</x:v>
      </x:c>
      <x:c r="R44" s="13" t="d">
        <x:v>2026-09-08T12:00:00.000Z</x:v>
      </x:c>
      <x:c r="S44" s="12" t="n">
        <x:f>I44-J44</x:f>
        <x:v>1</x:v>
      </x:c>
    </x:row>
    <x:row r="45" ht="38" customHeight="1">
      <x:c r="A45" s="6" t="str">
        <x:v>SB1-037</x:v>
      </x:c>
      <x:c r="B45" s="6" t="str">
        <x:v>Sprint 1</x:v>
      </x:c>
      <x:c r="C45" s="6" t="str">
        <x:v>HU-014</x:v>
      </x:c>
      <x:c r="D45" s="6" t="str">
        <x:v>Implementar la función para modificar cantidades y revisar totales.</x:v>
      </x:c>
      <x:c r="E45" s="6" t="str">
        <x:v>Alonso Urrutia</x:v>
      </x:c>
      <x:c r="F45" s="6" t="str">
        <x:v>SB1-036</x:v>
      </x:c>
      <x:c r="G45" s="6" t="str">
        <x:v>Cantidades actualizables; subtotales y total correctos; límites validados; interfaz clara.</x:v>
      </x:c>
      <x:c r="H45" s="11" t="str">
        <x:v>Terminado</x:v>
      </x:c>
      <x:c r="I45" s="12" t="n">
        <x:v>2.5</x:v>
      </x:c>
      <x:c r="J45" s="12" t="n">
        <x:v>0</x:v>
      </x:c>
      <x:c r="K45" s="13" t="d">
        <x:v>2026-09-08T12:00:00.000Z</x:v>
      </x:c>
      <x:c r="L45" s="13" t="d">
        <x:v>2026-09-08T12:00:00.000Z</x:v>
      </x:c>
      <x:c r="M45" s="11" t="str">
        <x:v>Sí</x:v>
      </x:c>
      <x:c r="N45" s="11" t="str">
        <x:v>Cierre y DoD registrados según Product Backlog. Evidencia de tarea pendiente de vincular.</x:v>
      </x:c>
      <x:c r="O45" s="11" t="str">
        <x:v>Pendiente de vincular evidencia de la tarea</x:v>
      </x:c>
      <x:c r="P45" s="11" t="str">
        <x:v>Completado</x:v>
      </x:c>
      <x:c r="Q45" s="12" t="str">
        <x:v>Sí</x:v>
      </x:c>
      <x:c r="R45" s="13" t="d">
        <x:v>2026-09-08T12:00:00.000Z</x:v>
      </x:c>
      <x:c r="S45" s="12" t="n">
        <x:f>I45-J45</x:f>
        <x:v>2.5</x:v>
      </x:c>
    </x:row>
    <x:row r="46" ht="49" customHeight="1">
      <x:c r="A46" s="10" t="str">
        <x:v>SB1-038</x:v>
      </x:c>
      <x:c r="B46" s="10" t="str">
        <x:v>Sprint 1</x:v>
      </x:c>
      <x:c r="C46" s="10" t="str">
        <x:v>HU-014</x:v>
      </x:c>
      <x:c r="D46" s="10" t="str">
        <x:v>Verificar criterios de aceptación, permisos y casos negativos de HU-014.</x:v>
      </x:c>
      <x:c r="E46" s="10" t="str">
        <x:v>Franco Miranda</x:v>
      </x:c>
      <x:c r="F46" s="10" t="str">
        <x:v>SB1-037</x:v>
      </x:c>
      <x:c r="G46" s="10" t="str">
        <x:v>Casos ejecutados y evidencia vinculada; defectos clasificados; criterios del PBI verificados: Cantidades actualizables; subtotales y total correctos; límites validados; interfaz clara.</x:v>
      </x:c>
      <x:c r="H46" s="11" t="str">
        <x:v>Terminado</x:v>
      </x:c>
      <x:c r="I46" s="12" t="n">
        <x:v>1</x:v>
      </x:c>
      <x:c r="J46" s="12" t="n">
        <x:v>0</x:v>
      </x:c>
      <x:c r="K46" s="13" t="d">
        <x:v>2026-09-09T12:00:00.000Z</x:v>
      </x:c>
      <x:c r="L46" s="13" t="d">
        <x:v>2026-09-09T12:00:00.000Z</x:v>
      </x:c>
      <x:c r="M46" s="11" t="str">
        <x:v>Sí</x:v>
      </x:c>
      <x:c r="N46" s="11" t="str">
        <x:v>Cierre y DoD registrados según Product Backlog. Evidencia de tarea pendiente de vincular.</x:v>
      </x:c>
      <x:c r="O46" s="11" t="str">
        <x:v>Pendiente de vincular evidencia de la tarea</x:v>
      </x:c>
      <x:c r="P46" s="11" t="str">
        <x:v>Completado</x:v>
      </x:c>
      <x:c r="Q46" s="12" t="str">
        <x:v>Sí</x:v>
      </x:c>
      <x:c r="R46" s="13" t="d">
        <x:v>2026-09-09T12:00:00.000Z</x:v>
      </x:c>
      <x:c r="S46" s="12" t="n">
        <x:f>I46-J46</x:f>
        <x:v>1</x:v>
      </x:c>
    </x:row>
    <x:row r="47" ht="38" customHeight="1">
      <x:c r="A47" s="6" t="str">
        <x:v>SB1-039</x:v>
      </x:c>
      <x:c r="B47" s="6" t="str">
        <x:v>Sprint 1</x:v>
      </x:c>
      <x:c r="C47" s="6" t="str">
        <x:v>HU-015</x:v>
      </x:c>
      <x:c r="D47" s="6" t="str">
        <x:v>Implementar la función para que el carrito valide el stock disponible.</x:v>
      </x:c>
      <x:c r="E47" s="6" t="str">
        <x:v>Alonso Urrutia</x:v>
      </x:c>
      <x:c r="F47" s="6" t="str">
        <x:v>HU-008, HU-014</x:v>
      </x:c>
      <x:c r="G47" s="6" t="str">
        <x:v>Validación al agregar y actualizar; mensaje de falta de stock; carrito corregible; stock no reservado erróneamente.</x:v>
      </x:c>
      <x:c r="H47" s="11" t="str">
        <x:v>Terminado</x:v>
      </x:c>
      <x:c r="I47" s="12" t="n">
        <x:v>2.5</x:v>
      </x:c>
      <x:c r="J47" s="12" t="n">
        <x:v>0</x:v>
      </x:c>
      <x:c r="K47" s="13" t="d">
        <x:v>2026-09-09T12:00:00.000Z</x:v>
      </x:c>
      <x:c r="L47" s="13" t="d">
        <x:v>2026-09-09T12:00:00.000Z</x:v>
      </x:c>
      <x:c r="M47" s="11" t="str">
        <x:v>Sí</x:v>
      </x:c>
      <x:c r="N47" s="11" t="str">
        <x:v>Cierre y DoD registrados según Product Backlog. Evidencia de tarea pendiente de vincular.</x:v>
      </x:c>
      <x:c r="O47" s="11" t="str">
        <x:v>Pendiente de vincular evidencia de la tarea</x:v>
      </x:c>
      <x:c r="P47" s="11" t="str">
        <x:v>Completado</x:v>
      </x:c>
      <x:c r="Q47" s="12" t="str">
        <x:v>Sí</x:v>
      </x:c>
      <x:c r="R47" s="13" t="d">
        <x:v>2026-09-09T12:00:00.000Z</x:v>
      </x:c>
      <x:c r="S47" s="12" t="n">
        <x:f>I47-J47</x:f>
        <x:v>2.5</x:v>
      </x:c>
    </x:row>
    <x:row r="48" ht="49" customHeight="1">
      <x:c r="A48" s="10" t="str">
        <x:v>SB1-040</x:v>
      </x:c>
      <x:c r="B48" s="10" t="str">
        <x:v>Sprint 1</x:v>
      </x:c>
      <x:c r="C48" s="10" t="str">
        <x:v>HU-015</x:v>
      </x:c>
      <x:c r="D48" s="10" t="str">
        <x:v>Verificar criterios de aceptación, permisos y casos negativos de HU-015.</x:v>
      </x:c>
      <x:c r="E48" s="10" t="str">
        <x:v>Franco Miranda</x:v>
      </x:c>
      <x:c r="F48" s="10" t="str">
        <x:v>SB1-039</x:v>
      </x:c>
      <x:c r="G48" s="10" t="str">
        <x:v>Casos ejecutados y evidencia vinculada; defectos clasificados; criterios del PBI verificados: Validación al agregar y actualizar; mensaje de falta de stock; carrito corregible; stock no reservado erróneamente.</x:v>
      </x:c>
      <x:c r="H48" s="11" t="str">
        <x:v>Terminado</x:v>
      </x:c>
      <x:c r="I48" s="12" t="n">
        <x:v>1</x:v>
      </x:c>
      <x:c r="J48" s="12" t="n">
        <x:v>0</x:v>
      </x:c>
      <x:c r="K48" s="13" t="d">
        <x:v>2026-09-10T12:00:00.000Z</x:v>
      </x:c>
      <x:c r="L48" s="13" t="d">
        <x:v>2026-09-10T12:00:00.000Z</x:v>
      </x:c>
      <x:c r="M48" s="11" t="str">
        <x:v>Sí</x:v>
      </x:c>
      <x:c r="N48" s="11" t="str">
        <x:v>Cierre y DoD registrados según Product Backlog. Evidencia de tarea pendiente de vincular.</x:v>
      </x:c>
      <x:c r="O48" s="11" t="str">
        <x:v>Pendiente de vincular evidencia de la tarea</x:v>
      </x:c>
      <x:c r="P48" s="11" t="str">
        <x:v>Completado</x:v>
      </x:c>
      <x:c r="Q48" s="12" t="str">
        <x:v>Sí</x:v>
      </x:c>
      <x:c r="R48" s="13" t="d">
        <x:v>2026-09-09T12:00:00.000Z</x:v>
      </x:c>
      <x:c r="S48" s="12" t="n">
        <x:f>I48-J48</x:f>
        <x:v>1</x:v>
      </x:c>
    </x:row>
    <x:row r="49" ht="38" customHeight="1">
      <x:c r="A49" s="6" t="str">
        <x:v>SB1-041</x:v>
      </x:c>
      <x:c r="B49" s="6" t="str">
        <x:v>Sprint 1</x:v>
      </x:c>
      <x:c r="C49" s="6" t="str">
        <x:v>HU-016</x:v>
      </x:c>
      <x:c r="D49" s="6" t="str">
        <x:v>Diseñar o ajustar interfaz y mensajes para ventas.</x:v>
      </x:c>
      <x:c r="E49" s="6" t="str">
        <x:v>Vicente Palma</x:v>
      </x:c>
      <x:c r="F49" s="6" t="str">
        <x:v>HU-014, HU-015</x:v>
      </x:c>
      <x:c r="G49" s="6" t="str">
        <x:v>Vista o flujo revisado, campos y mensajes definidos y comportamiento móvil considerado.</x:v>
      </x:c>
      <x:c r="H49" s="11" t="str">
        <x:v>Terminado</x:v>
      </x:c>
      <x:c r="I49" s="12" t="n">
        <x:v>1.5</x:v>
      </x:c>
      <x:c r="J49" s="12" t="n">
        <x:v>0</x:v>
      </x:c>
      <x:c r="K49" s="13" t="d">
        <x:v>2026-09-11T12:00:00.000Z</x:v>
      </x:c>
      <x:c r="L49" s="13" t="d">
        <x:v>2026-09-11T12:00:00.000Z</x:v>
      </x:c>
      <x:c r="M49" s="11" t="str">
        <x:v>Sí</x:v>
      </x:c>
      <x:c r="N49" s="11" t="str">
        <x:v>Cierre y DoD registrados según Product Backlog. Evidencia de tarea pendiente de vincular.</x:v>
      </x:c>
      <x:c r="O49" s="11" t="str">
        <x:v>Pendiente de vincular evidencia de la tarea</x:v>
      </x:c>
      <x:c r="P49" s="11" t="str">
        <x:v>Completado</x:v>
      </x:c>
      <x:c r="Q49" s="12" t="str">
        <x:v>Sí</x:v>
      </x:c>
      <x:c r="R49" s="13" t="d">
        <x:v>2026-09-11T12:00:00.000Z</x:v>
      </x:c>
      <x:c r="S49" s="12" t="n">
        <x:f>I49-J49</x:f>
        <x:v>1.5</x:v>
      </x:c>
    </x:row>
    <x:row r="50" ht="38" customHeight="1">
      <x:c r="A50" s="10" t="str">
        <x:v>SB1-042</x:v>
      </x:c>
      <x:c r="B50" s="10" t="str">
        <x:v>Sprint 1</x:v>
      </x:c>
      <x:c r="C50" s="10" t="str">
        <x:v>HU-016</x:v>
      </x:c>
      <x:c r="D50" s="10" t="str">
        <x:v>Implementar la función para confirmar el carrito y generar una venta.</x:v>
      </x:c>
      <x:c r="E50" s="10" t="str">
        <x:v>Alonso Urrutia</x:v>
      </x:c>
      <x:c r="F50" s="10" t="str">
        <x:v>SB1-041</x:v>
      </x:c>
      <x:c r="G50" s="10" t="str">
        <x:v>Venta y detalle creados; precios conservados; carrito validado; estado inicial asignado.</x:v>
      </x:c>
      <x:c r="H50" s="11" t="str">
        <x:v>Terminado</x:v>
      </x:c>
      <x:c r="I50" s="12" t="n">
        <x:v>4</x:v>
      </x:c>
      <x:c r="J50" s="12" t="n">
        <x:v>0</x:v>
      </x:c>
      <x:c r="K50" s="13" t="d">
        <x:v>2026-09-14T12:00:00.000Z</x:v>
      </x:c>
      <x:c r="L50" s="13" t="d">
        <x:v>2026-09-14T12:00:00.000Z</x:v>
      </x:c>
      <x:c r="M50" s="11" t="str">
        <x:v>Sí</x:v>
      </x:c>
      <x:c r="N50" s="11" t="str">
        <x:v>Cierre y DoD registrados según Product Backlog. Evidencia de tarea pendiente de vincular.</x:v>
      </x:c>
      <x:c r="O50" s="11" t="str">
        <x:v>Pendiente de vincular evidencia de la tarea</x:v>
      </x:c>
      <x:c r="P50" s="11" t="str">
        <x:v>Completado</x:v>
      </x:c>
      <x:c r="Q50" s="12" t="str">
        <x:v>Sí</x:v>
      </x:c>
      <x:c r="R50" s="13" t="d">
        <x:v>2026-09-11T12:00:00.000Z</x:v>
      </x:c>
      <x:c r="S50" s="12" t="n">
        <x:f>I50-J50</x:f>
        <x:v>4</x:v>
      </x:c>
    </x:row>
    <x:row r="51" ht="49" customHeight="1">
      <x:c r="A51" s="6" t="str">
        <x:v>SB1-043</x:v>
      </x:c>
      <x:c r="B51" s="6" t="str">
        <x:v>Sprint 1</x:v>
      </x:c>
      <x:c r="C51" s="6" t="str">
        <x:v>HU-016</x:v>
      </x:c>
      <x:c r="D51" s="6" t="str">
        <x:v>Verificar criterios de aceptación, permisos y casos negativos de HU-016.</x:v>
      </x:c>
      <x:c r="E51" s="6" t="str">
        <x:v>Franco Miranda</x:v>
      </x:c>
      <x:c r="F51" s="6" t="str">
        <x:v>SB1-042</x:v>
      </x:c>
      <x:c r="G51" s="6" t="str">
        <x:v>Casos ejecutados y evidencia vinculada; defectos clasificados; criterios del PBI verificados: Venta y detalle creados; precios conservados; carrito validado; estado inicial asignado.</x:v>
      </x:c>
      <x:c r="H51" s="11" t="str">
        <x:v>Terminado</x:v>
      </x:c>
      <x:c r="I51" s="12" t="n">
        <x:v>1.5</x:v>
      </x:c>
      <x:c r="J51" s="12" t="n">
        <x:v>0</x:v>
      </x:c>
      <x:c r="K51" s="13" t="d">
        <x:v>2026-09-14T12:00:00.000Z</x:v>
      </x:c>
      <x:c r="L51" s="13" t="d">
        <x:v>2026-09-14T12:00:00.000Z</x:v>
      </x:c>
      <x:c r="M51" s="11" t="str">
        <x:v>Sí</x:v>
      </x:c>
      <x:c r="N51" s="11" t="str">
        <x:v>Cierre y DoD registrados según Product Backlog. Evidencia de tarea pendiente de vincular.</x:v>
      </x:c>
      <x:c r="O51" s="11" t="str">
        <x:v>Pendiente de vincular evidencia de la tarea</x:v>
      </x:c>
      <x:c r="P51" s="11" t="str">
        <x:v>Completado</x:v>
      </x:c>
      <x:c r="Q51" s="12" t="str">
        <x:v>Sí</x:v>
      </x:c>
      <x:c r="R51" s="13" t="d">
        <x:v>2026-09-14T12:00:00.000Z</x:v>
      </x:c>
      <x:c r="S51" s="12" t="n">
        <x:f>I51-J51</x:f>
        <x:v>1.5</x:v>
      </x:c>
    </x:row>
    <x:row r="52" ht="38" customHeight="1">
      <x:c r="A52" s="10" t="str">
        <x:v>SB1-044</x:v>
      </x:c>
      <x:c r="B52" s="10" t="str">
        <x:v>Sprint 1</x:v>
      </x:c>
      <x:c r="C52" s="10" t="str">
        <x:v>HU-018</x:v>
      </x:c>
      <x:c r="D52" s="10" t="str">
        <x:v>Diseñar o ajustar interfaz y mensajes para ventas.</x:v>
      </x:c>
      <x:c r="E52" s="10" t="str">
        <x:v>Vicente Palma</x:v>
      </x:c>
      <x:c r="F52" s="10" t="str">
        <x:v>HU-016</x:v>
      </x:c>
      <x:c r="G52" s="10" t="str">
        <x:v>Vista o flujo revisado, campos y mensajes definidos y comportamiento móvil considerado.</x:v>
      </x:c>
      <x:c r="H52" s="11" t="str">
        <x:v>Terminado</x:v>
      </x:c>
      <x:c r="I52" s="12" t="n">
        <x:v>1</x:v>
      </x:c>
      <x:c r="J52" s="12" t="n">
        <x:v>0</x:v>
      </x:c>
      <x:c r="K52" s="13" t="d">
        <x:v>2026-09-14T12:00:00.000Z</x:v>
      </x:c>
      <x:c r="L52" s="13" t="d">
        <x:v>2026-09-14T12:00:00.000Z</x:v>
      </x:c>
      <x:c r="M52" s="11" t="str">
        <x:v>Sí</x:v>
      </x:c>
      <x:c r="N52" s="11" t="str">
        <x:v>Cierre y DoD registrados según Product Backlog. Evidencia de tarea pendiente de vincular.</x:v>
      </x:c>
      <x:c r="O52" s="11" t="str">
        <x:v>Pendiente de vincular evidencia de la tarea</x:v>
      </x:c>
      <x:c r="P52" s="11" t="str">
        <x:v>Completado</x:v>
      </x:c>
      <x:c r="Q52" s="12" t="str">
        <x:v>Sí</x:v>
      </x:c>
      <x:c r="R52" s="13" t="d">
        <x:v>2026-09-14T12:00:00.000Z</x:v>
      </x:c>
      <x:c r="S52" s="12" t="n">
        <x:f>I52-J52</x:f>
        <x:v>1</x:v>
      </x:c>
    </x:row>
    <x:row r="53" ht="38" customHeight="1">
      <x:c r="A53" s="6" t="str">
        <x:v>SB1-045</x:v>
      </x:c>
      <x:c r="B53" s="6" t="str">
        <x:v>Sprint 1</x:v>
      </x:c>
      <x:c r="C53" s="6" t="str">
        <x:v>HU-018</x:v>
      </x:c>
      <x:c r="D53" s="6" t="str">
        <x:v>Implementar la función para consultar su boleta e historial.</x:v>
      </x:c>
      <x:c r="E53" s="6" t="str">
        <x:v>Alonso Urrutia</x:v>
      </x:c>
      <x:c r="F53" s="6" t="str">
        <x:v>SB1-044</x:v>
      </x:c>
      <x:c r="G53" s="6" t="str">
        <x:v>Boleta con detalle y totales; historial por usuario; acceso privado; información consistente.</x:v>
      </x:c>
      <x:c r="H53" s="11" t="str">
        <x:v>Terminado</x:v>
      </x:c>
      <x:c r="I53" s="12" t="n">
        <x:v>2.5</x:v>
      </x:c>
      <x:c r="J53" s="12" t="n">
        <x:v>0</x:v>
      </x:c>
      <x:c r="K53" s="13" t="d">
        <x:v>2026-09-15T12:00:00.000Z</x:v>
      </x:c>
      <x:c r="L53" s="13" t="d">
        <x:v>2026-09-15T12:00:00.000Z</x:v>
      </x:c>
      <x:c r="M53" s="11" t="str">
        <x:v>Sí</x:v>
      </x:c>
      <x:c r="N53" s="11" t="str">
        <x:v>Cierre y DoD registrados según Product Backlog. Evidencia de tarea pendiente de vincular.</x:v>
      </x:c>
      <x:c r="O53" s="11" t="str">
        <x:v>Pendiente de vincular evidencia de la tarea</x:v>
      </x:c>
      <x:c r="P53" s="11" t="str">
        <x:v>Completado</x:v>
      </x:c>
      <x:c r="Q53" s="12" t="str">
        <x:v>Sí</x:v>
      </x:c>
      <x:c r="R53" s="13" t="d">
        <x:v>2026-09-15T12:00:00.000Z</x:v>
      </x:c>
      <x:c r="S53" s="12" t="n">
        <x:f>I53-J53</x:f>
        <x:v>2.5</x:v>
      </x:c>
    </x:row>
    <x:row r="54" ht="49" customHeight="1">
      <x:c r="A54" s="10" t="str">
        <x:v>SB1-046</x:v>
      </x:c>
      <x:c r="B54" s="10" t="str">
        <x:v>Sprint 1</x:v>
      </x:c>
      <x:c r="C54" s="10" t="str">
        <x:v>HU-018</x:v>
      </x:c>
      <x:c r="D54" s="10" t="str">
        <x:v>Verificar criterios de aceptación, permisos y casos negativos de HU-018.</x:v>
      </x:c>
      <x:c r="E54" s="10" t="str">
        <x:v>Franco Miranda</x:v>
      </x:c>
      <x:c r="F54" s="10" t="str">
        <x:v>SB1-045</x:v>
      </x:c>
      <x:c r="G54" s="10" t="str">
        <x:v>Casos ejecutados y evidencia vinculada; defectos clasificados; criterios del PBI verificados: Boleta con detalle y totales; historial por usuario; acceso privado; información consistente.</x:v>
      </x:c>
      <x:c r="H54" s="11" t="str">
        <x:v>Terminado</x:v>
      </x:c>
      <x:c r="I54" s="12" t="n">
        <x:v>1</x:v>
      </x:c>
      <x:c r="J54" s="12" t="n">
        <x:v>0</x:v>
      </x:c>
      <x:c r="K54" s="13" t="d">
        <x:v>2026-09-15T12:00:00.000Z</x:v>
      </x:c>
      <x:c r="L54" s="13" t="d">
        <x:v>2026-09-15T12:00:00.000Z</x:v>
      </x:c>
      <x:c r="M54" s="11" t="str">
        <x:v>Sí</x:v>
      </x:c>
      <x:c r="N54" s="11" t="str">
        <x:v>Cierre y DoD registrados según Product Backlog. Evidencia de tarea pendiente de vincular.</x:v>
      </x:c>
      <x:c r="O54" s="11" t="str">
        <x:v>Pendiente de vincular evidencia de la tarea</x:v>
      </x:c>
      <x:c r="P54" s="11" t="str">
        <x:v>Completado</x:v>
      </x:c>
      <x:c r="Q54" s="12" t="str">
        <x:v>Sí</x:v>
      </x:c>
      <x:c r="R54" s="13" t="d">
        <x:v>2026-09-15T12:00:00.000Z</x:v>
      </x:c>
      <x:c r="S54" s="12" t="n">
        <x:f>I54-J54</x:f>
        <x:v>1</x:v>
      </x:c>
    </x:row>
    <x:row r="55" ht="38" customHeight="1">
      <x:c r="A55" s="6" t="str">
        <x:v>SB1-047</x:v>
      </x:c>
      <x:c r="B55" s="6" t="str">
        <x:v>Sprint 1</x:v>
      </x:c>
      <x:c r="C55" s="6" t="str">
        <x:v>HU-020</x:v>
      </x:c>
      <x:c r="D55" s="6" t="str">
        <x:v>Diseñar o ajustar interfaz y mensajes para pagos.</x:v>
      </x:c>
      <x:c r="E55" s="6" t="str">
        <x:v>Vicente Palma</x:v>
      </x:c>
      <x:c r="F55" s="6" t="str">
        <x:v>HU-016</x:v>
      </x:c>
      <x:c r="G55" s="6" t="str">
        <x:v>Vista o flujo revisado, campos y mensajes definidos y comportamiento móvil considerado.</x:v>
      </x:c>
      <x:c r="H55" s="11" t="str">
        <x:v>Terminado</x:v>
      </x:c>
      <x:c r="I55" s="12" t="n">
        <x:v>1.5</x:v>
      </x:c>
      <x:c r="J55" s="12" t="n">
        <x:v>0</x:v>
      </x:c>
      <x:c r="K55" s="13" t="d">
        <x:v>2026-09-15T12:00:00.000Z</x:v>
      </x:c>
      <x:c r="L55" s="13" t="d">
        <x:v>2026-09-15T12:00:00.000Z</x:v>
      </x:c>
      <x:c r="M55" s="11" t="str">
        <x:v>Sí</x:v>
      </x:c>
      <x:c r="N55" s="11" t="str">
        <x:v>Cierre y DoD registrados según Product Backlog. Evidencia de tarea pendiente de vincular.</x:v>
      </x:c>
      <x:c r="O55" s="11" t="str">
        <x:v>Pendiente de vincular evidencia de la tarea</x:v>
      </x:c>
      <x:c r="P55" s="11" t="str">
        <x:v>Completado</x:v>
      </x:c>
      <x:c r="Q55" s="12" t="str">
        <x:v>Sí</x:v>
      </x:c>
      <x:c r="R55" s="13" t="d">
        <x:v>2026-09-15T12:00:00.000Z</x:v>
      </x:c>
      <x:c r="S55" s="12" t="n">
        <x:f>I55-J55</x:f>
        <x:v>1.5</x:v>
      </x:c>
    </x:row>
    <x:row r="56" ht="38" customHeight="1">
      <x:c r="A56" s="10" t="str">
        <x:v>SB1-048</x:v>
      </x:c>
      <x:c r="B56" s="10" t="str">
        <x:v>Sprint 1</x:v>
      </x:c>
      <x:c r="C56" s="10" t="str">
        <x:v>HU-020</x:v>
      </x:c>
      <x:c r="D56" s="10" t="str">
        <x:v>Implementar la función para iniciar un pago con Webpay Plus.</x:v>
      </x:c>
      <x:c r="E56" s="10" t="str">
        <x:v>Alonso Urrutia</x:v>
      </x:c>
      <x:c r="F56" s="10" t="str">
        <x:v>SB1-047</x:v>
      </x:c>
      <x:c r="G56" s="10" t="str">
        <x:v>Transacción creada con monto correcto; redirección válida; venta vinculada; errores controlados.</x:v>
      </x:c>
      <x:c r="H56" s="11" t="str">
        <x:v>Terminado</x:v>
      </x:c>
      <x:c r="I56" s="12" t="n">
        <x:v>4</x:v>
      </x:c>
      <x:c r="J56" s="12" t="n">
        <x:v>0</x:v>
      </x:c>
      <x:c r="K56" s="13" t="d">
        <x:v>2026-09-16T12:00:00.000Z</x:v>
      </x:c>
      <x:c r="L56" s="13" t="d">
        <x:v>2026-09-16T12:00:00.000Z</x:v>
      </x:c>
      <x:c r="M56" s="11" t="str">
        <x:v>Sí</x:v>
      </x:c>
      <x:c r="N56" s="11" t="str">
        <x:v>Cierre y DoD registrados según Product Backlog. Evidencia de tarea pendiente de vincular.</x:v>
      </x:c>
      <x:c r="O56" s="11" t="str">
        <x:v>Pendiente de vincular evidencia de la tarea</x:v>
      </x:c>
      <x:c r="P56" s="11" t="str">
        <x:v>Completado</x:v>
      </x:c>
      <x:c r="Q56" s="12" t="str">
        <x:v>Sí</x:v>
      </x:c>
      <x:c r="R56" s="13" t="d">
        <x:v>2026-09-15T12:00:00.000Z</x:v>
      </x:c>
      <x:c r="S56" s="12" t="n">
        <x:f>I56-J56</x:f>
        <x:v>4</x:v>
      </x:c>
    </x:row>
    <x:row r="57" ht="49" customHeight="1">
      <x:c r="A57" s="6" t="str">
        <x:v>SB1-049</x:v>
      </x:c>
      <x:c r="B57" s="6" t="str">
        <x:v>Sprint 1</x:v>
      </x:c>
      <x:c r="C57" s="6" t="str">
        <x:v>HU-020</x:v>
      </x:c>
      <x:c r="D57" s="6" t="str">
        <x:v>Verificar criterios de aceptación, permisos y casos negativos de HU-020.</x:v>
      </x:c>
      <x:c r="E57" s="6" t="str">
        <x:v>Franco Miranda</x:v>
      </x:c>
      <x:c r="F57" s="6" t="str">
        <x:v>SB1-048</x:v>
      </x:c>
      <x:c r="G57" s="6" t="str">
        <x:v>Casos ejecutados y evidencia vinculada; defectos clasificados; criterios del PBI verificados: Transacción creada con monto correcto; redirección válida; venta vinculada; errores controlados.</x:v>
      </x:c>
      <x:c r="H57" s="11" t="str">
        <x:v>Terminado</x:v>
      </x:c>
      <x:c r="I57" s="12" t="n">
        <x:v>1.5</x:v>
      </x:c>
      <x:c r="J57" s="12" t="n">
        <x:v>0</x:v>
      </x:c>
      <x:c r="K57" s="13" t="d">
        <x:v>2026-09-16T12:00:00.000Z</x:v>
      </x:c>
      <x:c r="L57" s="13" t="d">
        <x:v>2026-09-16T12:00:00.000Z</x:v>
      </x:c>
      <x:c r="M57" s="11" t="str">
        <x:v>Sí</x:v>
      </x:c>
      <x:c r="N57" s="11" t="str">
        <x:v>Cierre y DoD registrados según Product Backlog. Evidencia de tarea pendiente de vincular.</x:v>
      </x:c>
      <x:c r="O57" s="11" t="str">
        <x:v>Pendiente de vincular evidencia de la tarea</x:v>
      </x:c>
      <x:c r="P57" s="11" t="str">
        <x:v>Completado</x:v>
      </x:c>
      <x:c r="Q57" s="12" t="str">
        <x:v>Sí</x:v>
      </x:c>
      <x:c r="R57" s="13" t="d">
        <x:v>2026-09-16T12:00:00.000Z</x:v>
      </x:c>
      <x:c r="S57" s="12" t="n">
        <x:f>I57-J57</x:f>
        <x:v>1.5</x:v>
      </x:c>
    </x:row>
    <x:row r="58" ht="38" customHeight="1">
      <x:c r="A58" s="10" t="str">
        <x:v>SB1-050</x:v>
      </x:c>
      <x:c r="B58" s="10" t="str">
        <x:v>Sprint 1</x:v>
      </x:c>
      <x:c r="C58" s="10" t="str">
        <x:v>HU-021</x:v>
      </x:c>
      <x:c r="D58" s="10" t="str">
        <x:v>Diseñar o ajustar interfaz y mensajes para pagos.</x:v>
      </x:c>
      <x:c r="E58" s="10" t="str">
        <x:v>Vicente Palma</x:v>
      </x:c>
      <x:c r="F58" s="10" t="str">
        <x:v>HU-020</x:v>
      </x:c>
      <x:c r="G58" s="10" t="str">
        <x:v>Vista o flujo revisado, campos y mensajes definidos y comportamiento móvil considerado.</x:v>
      </x:c>
      <x:c r="H58" s="11" t="str">
        <x:v>Terminado</x:v>
      </x:c>
      <x:c r="I58" s="12" t="n">
        <x:v>1.5</x:v>
      </x:c>
      <x:c r="J58" s="12" t="n">
        <x:v>0</x:v>
      </x:c>
      <x:c r="K58" s="13" t="d">
        <x:v>2026-09-17T12:00:00.000Z</x:v>
      </x:c>
      <x:c r="L58" s="13" t="d">
        <x:v>2026-09-17T12:00:00.000Z</x:v>
      </x:c>
      <x:c r="M58" s="11" t="str">
        <x:v>Sí</x:v>
      </x:c>
      <x:c r="N58" s="11" t="str">
        <x:v>Cierre y DoD registrados según Product Backlog. Evidencia de tarea pendiente de vincular.</x:v>
      </x:c>
      <x:c r="O58" s="11" t="str">
        <x:v>Pendiente de vincular evidencia de la tarea</x:v>
      </x:c>
      <x:c r="P58" s="11" t="str">
        <x:v>Completado</x:v>
      </x:c>
      <x:c r="Q58" s="12" t="str">
        <x:v>Sí</x:v>
      </x:c>
      <x:c r="R58" s="13" t="d">
        <x:v>2026-09-17T12:00:00.000Z</x:v>
      </x:c>
      <x:c r="S58" s="12" t="n">
        <x:f>I58-J58</x:f>
        <x:v>1.5</x:v>
      </x:c>
    </x:row>
    <x:row r="59" ht="38" customHeight="1">
      <x:c r="A59" s="6" t="str">
        <x:v>SB1-051</x:v>
      </x:c>
      <x:c r="B59" s="6" t="str">
        <x:v>Sprint 1</x:v>
      </x:c>
      <x:c r="C59" s="6" t="str">
        <x:v>HU-021</x:v>
      </x:c>
      <x:c r="D59" s="6" t="str">
        <x:v>Implementar la función para conocer el resultado del pago.</x:v>
      </x:c>
      <x:c r="E59" s="6" t="str">
        <x:v>Alonso Urrutia</x:v>
      </x:c>
      <x:c r="F59" s="6" t="str">
        <x:v>SB1-050</x:v>
      </x:c>
      <x:c r="G59" s="6" t="str">
        <x:v>Retorno validado; estados actualizados; pantallas claras; reintentos y duplicidad controlados.</x:v>
      </x:c>
      <x:c r="H59" s="11" t="str">
        <x:v>Terminado</x:v>
      </x:c>
      <x:c r="I59" s="12" t="n">
        <x:v>4</x:v>
      </x:c>
      <x:c r="J59" s="12" t="n">
        <x:v>0</x:v>
      </x:c>
      <x:c r="K59" s="13" t="d">
        <x:v>2026-09-18T12:00:00.000Z</x:v>
      </x:c>
      <x:c r="L59" s="13" t="d">
        <x:v>2026-09-18T12:00:00.000Z</x:v>
      </x:c>
      <x:c r="M59" s="11" t="str">
        <x:v>Sí</x:v>
      </x:c>
      <x:c r="N59" s="11" t="str">
        <x:v>Cierre y DoD registrados según Product Backlog. Evidencia de tarea pendiente de vincular.</x:v>
      </x:c>
      <x:c r="O59" s="11" t="str">
        <x:v>Pendiente de vincular evidencia de la tarea</x:v>
      </x:c>
      <x:c r="P59" s="11" t="str">
        <x:v>Completado</x:v>
      </x:c>
      <x:c r="Q59" s="12" t="str">
        <x:v>Sí</x:v>
      </x:c>
      <x:c r="R59" s="13" t="d">
        <x:v>2026-09-17T12:00:00.000Z</x:v>
      </x:c>
      <x:c r="S59" s="12" t="n">
        <x:f>I59-J59</x:f>
        <x:v>4</x:v>
      </x:c>
    </x:row>
    <x:row r="60" ht="49" customHeight="1">
      <x:c r="A60" s="10" t="str">
        <x:v>SB1-052</x:v>
      </x:c>
      <x:c r="B60" s="10" t="str">
        <x:v>Sprint 1</x:v>
      </x:c>
      <x:c r="C60" s="10" t="str">
        <x:v>HU-021</x:v>
      </x:c>
      <x:c r="D60" s="10" t="str">
        <x:v>Verificar criterios de aceptación, permisos y casos negativos de HU-021.</x:v>
      </x:c>
      <x:c r="E60" s="10" t="str">
        <x:v>Franco Miranda</x:v>
      </x:c>
      <x:c r="F60" s="10" t="str">
        <x:v>SB1-051</x:v>
      </x:c>
      <x:c r="G60" s="10" t="str">
        <x:v>Casos ejecutados y evidencia vinculada; defectos clasificados; criterios del PBI verificados: Retorno validado; estados actualizados; pantallas claras; reintentos y duplicidad controlados.</x:v>
      </x:c>
      <x:c r="H60" s="11" t="str">
        <x:v>Terminado</x:v>
      </x:c>
      <x:c r="I60" s="12" t="n">
        <x:v>1.5</x:v>
      </x:c>
      <x:c r="J60" s="12" t="n">
        <x:v>0</x:v>
      </x:c>
      <x:c r="K60" s="13" t="d">
        <x:v>2026-09-18T12:00:00.000Z</x:v>
      </x:c>
      <x:c r="L60" s="13" t="d">
        <x:v>2026-09-18T12:00:00.000Z</x:v>
      </x:c>
      <x:c r="M60" s="11" t="str">
        <x:v>Sí</x:v>
      </x:c>
      <x:c r="N60" s="11" t="str">
        <x:v>Cierre y DoD registrados según Product Backlog. Evidencia de tarea pendiente de vincular.</x:v>
      </x:c>
      <x:c r="O60" s="11" t="str">
        <x:v>Pendiente de vincular evidencia de la tarea</x:v>
      </x:c>
      <x:c r="P60" s="11" t="str">
        <x:v>Completado</x:v>
      </x:c>
      <x:c r="Q60" s="12" t="str">
        <x:v>Sí</x:v>
      </x:c>
      <x:c r="R60" s="13" t="d">
        <x:v>2026-09-18T12:00:00.000Z</x:v>
      </x:c>
      <x:c r="S60" s="12" t="n">
        <x:f>I60-J60</x:f>
        <x:v>1.5</x:v>
      </x:c>
    </x:row>
    <x:row r="61" ht="38" customHeight="1">
      <x:c r="A61" s="6" t="str">
        <x:v>SB1-053</x:v>
      </x:c>
      <x:c r="B61" s="6" t="str">
        <x:v>Sprint 1</x:v>
      </x:c>
      <x:c r="C61" s="6" t="str">
        <x:v>HU-022</x:v>
      </x:c>
      <x:c r="D61" s="6" t="str">
        <x:v>Implementar la función para validar las respuestas de Webpay.</x:v>
      </x:c>
      <x:c r="E61" s="6" t="str">
        <x:v>Alonso Urrutia</x:v>
      </x:c>
      <x:c r="F61" s="6" t="str">
        <x:v>HU-020</x:v>
      </x:c>
      <x:c r="G61" s="6" t="str">
        <x:v>Tokens y montos verificados; datos sensibles no almacenados; respuestas inválidas rechazadas; pruebas aprobadas.</x:v>
      </x:c>
      <x:c r="H61" s="11" t="str">
        <x:v>Terminado</x:v>
      </x:c>
      <x:c r="I61" s="12" t="n">
        <x:v>2.5</x:v>
      </x:c>
      <x:c r="J61" s="12" t="n">
        <x:v>0</x:v>
      </x:c>
      <x:c r="K61" s="13" t="d">
        <x:v>2026-09-18T12:00:00.000Z</x:v>
      </x:c>
      <x:c r="L61" s="13" t="d">
        <x:v>2026-09-18T12:00:00.000Z</x:v>
      </x:c>
      <x:c r="M61" s="11" t="str">
        <x:v>Sí</x:v>
      </x:c>
      <x:c r="N61" s="11" t="str">
        <x:v>Cierre y DoD registrados según Product Backlog. Evidencia de tarea pendiente de vincular.</x:v>
      </x:c>
      <x:c r="O61" s="11" t="str">
        <x:v>Pendiente de vincular evidencia de la tarea</x:v>
      </x:c>
      <x:c r="P61" s="11" t="str">
        <x:v>Completado</x:v>
      </x:c>
      <x:c r="Q61" s="12" t="str">
        <x:v>Sí</x:v>
      </x:c>
      <x:c r="R61" s="13" t="d">
        <x:v>2026-09-18T12:00:00.000Z</x:v>
      </x:c>
      <x:c r="S61" s="12" t="n">
        <x:f>I61-J61</x:f>
        <x:v>2.5</x:v>
      </x:c>
    </x:row>
    <x:row r="62" ht="49" customHeight="1">
      <x:c r="A62" s="10" t="str">
        <x:v>SB1-054</x:v>
      </x:c>
      <x:c r="B62" s="10" t="str">
        <x:v>Sprint 1</x:v>
      </x:c>
      <x:c r="C62" s="10" t="str">
        <x:v>HU-022</x:v>
      </x:c>
      <x:c r="D62" s="10" t="str">
        <x:v>Verificar criterios de aceptación, permisos y casos negativos de HU-022.</x:v>
      </x:c>
      <x:c r="E62" s="10" t="str">
        <x:v>Franco Miranda</x:v>
      </x:c>
      <x:c r="F62" s="10" t="str">
        <x:v>SB1-053</x:v>
      </x:c>
      <x:c r="G62" s="10" t="str">
        <x:v>Casos ejecutados y evidencia vinculada; defectos clasificados; criterios del PBI verificados: Tokens y montos verificados; datos sensibles no almacenados; respuestas inválidas rechazadas; pruebas aprobadas.</x:v>
      </x:c>
      <x:c r="H62" s="11" t="str">
        <x:v>Terminado</x:v>
      </x:c>
      <x:c r="I62" s="12" t="n">
        <x:v>1</x:v>
      </x:c>
      <x:c r="J62" s="12" t="n">
        <x:v>0</x:v>
      </x:c>
      <x:c r="K62" s="13" t="d">
        <x:v>2026-09-21T12:00:00.000Z</x:v>
      </x:c>
      <x:c r="L62" s="13" t="d">
        <x:v>2026-09-21T12:00:00.000Z</x:v>
      </x:c>
      <x:c r="M62" s="11" t="str">
        <x:v>Sí</x:v>
      </x:c>
      <x:c r="N62" s="11" t="str">
        <x:v>Cierre y DoD registrados según Product Backlog. Evidencia de tarea pendiente de vincular.</x:v>
      </x:c>
      <x:c r="O62" s="11" t="str">
        <x:v>Pendiente de vincular evidencia de la tarea</x:v>
      </x:c>
      <x:c r="P62" s="11" t="str">
        <x:v>Completado</x:v>
      </x:c>
      <x:c r="Q62" s="12" t="str">
        <x:v>Sí</x:v>
      </x:c>
      <x:c r="R62" s="13" t="d">
        <x:v>2026-09-21T12:00:00.000Z</x:v>
      </x:c>
      <x:c r="S62" s="12" t="n">
        <x:f>I62-J62</x:f>
        <x:v>1</x:v>
      </x:c>
    </x:row>
    <x:row r="63" ht="38" customHeight="1">
      <x:c r="A63" s="6" t="str">
        <x:v>SB1-055</x:v>
      </x:c>
      <x:c r="B63" s="6" t="str">
        <x:v>Sprint 1</x:v>
      </x:c>
      <x:c r="C63" s="6" t="str">
        <x:v>HU-023</x:v>
      </x:c>
      <x:c r="D63" s="6" t="str">
        <x:v>Diseñar o ajustar interfaz y mensajes para experiencia transversal.</x:v>
      </x:c>
      <x:c r="E63" s="6" t="str">
        <x:v>Vicente Palma</x:v>
      </x:c>
      <x:c r="F63" s="6" t="str">
        <x:v>HU-001</x:v>
      </x:c>
      <x:c r="G63" s="6" t="str">
        <x:v>Vista o flujo revisado, campos y mensajes definidos y comportamiento móvil considerado.</x:v>
      </x:c>
      <x:c r="H63" s="11" t="str">
        <x:v>Terminado</x:v>
      </x:c>
      <x:c r="I63" s="12" t="n">
        <x:v>1</x:v>
      </x:c>
      <x:c r="J63" s="12" t="n">
        <x:v>0</x:v>
      </x:c>
      <x:c r="K63" s="13" t="d">
        <x:v>2026-09-21T12:00:00.000Z</x:v>
      </x:c>
      <x:c r="L63" s="13" t="d">
        <x:v>2026-09-21T12:00:00.000Z</x:v>
      </x:c>
      <x:c r="M63" s="11" t="str">
        <x:v>Sí</x:v>
      </x:c>
      <x:c r="N63" s="11" t="str">
        <x:v>Cierre y DoD registrados según Product Backlog. Evidencia de tarea pendiente de vincular.</x:v>
      </x:c>
      <x:c r="O63" s="11" t="str">
        <x:v>Pendiente de vincular evidencia de la tarea</x:v>
      </x:c>
      <x:c r="P63" s="11" t="str">
        <x:v>Completado</x:v>
      </x:c>
      <x:c r="Q63" s="12" t="str">
        <x:v>Sí</x:v>
      </x:c>
      <x:c r="R63" s="13" t="d">
        <x:v>2026-09-21T12:00:00.000Z</x:v>
      </x:c>
      <x:c r="S63" s="12" t="n">
        <x:f>I63-J63</x:f>
        <x:v>1</x:v>
      </x:c>
    </x:row>
    <x:row r="64" ht="38" customHeight="1">
      <x:c r="A64" s="10" t="str">
        <x:v>SB1-056</x:v>
      </x:c>
      <x:c r="B64" s="10" t="str">
        <x:v>Sprint 1</x:v>
      </x:c>
      <x:c r="C64" s="10" t="str">
        <x:v>HU-023</x:v>
      </x:c>
      <x:c r="D64" s="10" t="str">
        <x:v>Implementar la función para una identidad visual SFI consistente.</x:v>
      </x:c>
      <x:c r="E64" s="10" t="str">
        <x:v>Alonso Urrutia</x:v>
      </x:c>
      <x:c r="F64" s="10" t="str">
        <x:v>SB1-055</x:v>
      </x:c>
      <x:c r="G64" s="10" t="str">
        <x:v>Colores y componentes unificados; encabezado y pie comunes; mensajes consistentes; pantallas principales actualizadas.</x:v>
      </x:c>
      <x:c r="H64" s="11" t="str">
        <x:v>Terminado</x:v>
      </x:c>
      <x:c r="I64" s="12" t="n">
        <x:v>2.5</x:v>
      </x:c>
      <x:c r="J64" s="12" t="n">
        <x:v>0</x:v>
      </x:c>
      <x:c r="K64" s="13" t="d">
        <x:v>2026-09-21T12:00:00.000Z</x:v>
      </x:c>
      <x:c r="L64" s="13" t="d">
        <x:v>2026-09-21T12:00:00.000Z</x:v>
      </x:c>
      <x:c r="M64" s="11" t="str">
        <x:v>Sí</x:v>
      </x:c>
      <x:c r="N64" s="11" t="str">
        <x:v>Cierre y DoD registrados según Product Backlog. Evidencia de tarea pendiente de vincular.</x:v>
      </x:c>
      <x:c r="O64" s="11" t="str">
        <x:v>Pendiente de vincular evidencia de la tarea</x:v>
      </x:c>
      <x:c r="P64" s="11" t="str">
        <x:v>Completado</x:v>
      </x:c>
      <x:c r="Q64" s="12" t="str">
        <x:v>Sí</x:v>
      </x:c>
      <x:c r="R64" s="13" t="d">
        <x:v>2026-09-21T12:00:00.000Z</x:v>
      </x:c>
      <x:c r="S64" s="12" t="n">
        <x:f>I64-J64</x:f>
        <x:v>2.5</x:v>
      </x:c>
    </x:row>
    <x:row r="65" ht="49" customHeight="1">
      <x:c r="A65" s="6" t="str">
        <x:v>SB1-057</x:v>
      </x:c>
      <x:c r="B65" s="6" t="str">
        <x:v>Sprint 1</x:v>
      </x:c>
      <x:c r="C65" s="6" t="str">
        <x:v>HU-023</x:v>
      </x:c>
      <x:c r="D65" s="6" t="str">
        <x:v>Verificar criterios de aceptación, permisos y casos negativos de HU-023.</x:v>
      </x:c>
      <x:c r="E65" s="6" t="str">
        <x:v>Franco Miranda</x:v>
      </x:c>
      <x:c r="F65" s="6" t="str">
        <x:v>SB1-056</x:v>
      </x:c>
      <x:c r="G65" s="6" t="str">
        <x:v>Casos ejecutados y evidencia vinculada; defectos clasificados; criterios del PBI verificados: Colores y componentes unificados; encabezado y pie comunes; mensajes consistentes; pantallas principales actualizadas.</x:v>
      </x:c>
      <x:c r="H65" s="11" t="str">
        <x:v>Terminado</x:v>
      </x:c>
      <x:c r="I65" s="12" t="n">
        <x:v>1</x:v>
      </x:c>
      <x:c r="J65" s="12" t="n">
        <x:v>0</x:v>
      </x:c>
      <x:c r="K65" s="13" t="d">
        <x:v>2026-09-22T12:00:00.000Z</x:v>
      </x:c>
      <x:c r="L65" s="13" t="d">
        <x:v>2026-09-22T12:00:00.000Z</x:v>
      </x:c>
      <x:c r="M65" s="11" t="str">
        <x:v>Sí</x:v>
      </x:c>
      <x:c r="N65" s="11" t="str">
        <x:v>Cierre y DoD registrados según Product Backlog. Evidencia de tarea pendiente de vincular.</x:v>
      </x:c>
      <x:c r="O65" s="11" t="str">
        <x:v>Pendiente de vincular evidencia de la tarea</x:v>
      </x:c>
      <x:c r="P65" s="11" t="str">
        <x:v>Completado</x:v>
      </x:c>
      <x:c r="Q65" s="12" t="str">
        <x:v>Sí</x:v>
      </x:c>
      <x:c r="R65" s="13" t="d">
        <x:v>2026-09-21T12:00:00.000Z</x:v>
      </x:c>
      <x:c r="S65" s="12" t="n">
        <x:f>I65-J65</x:f>
        <x:v>1</x:v>
      </x:c>
    </x:row>
    <x:row r="66" ht="38" customHeight="1">
      <x:c r="A66" s="6" t="str">
        <x:v>SB1-061</x:v>
      </x:c>
      <x:c r="B66" s="6" t="str">
        <x:v>Sprint 1</x:v>
      </x:c>
      <x:c r="C66" s="6" t="str">
        <x:v>HU-025</x:v>
      </x:c>
      <x:c r="D66" s="6" t="str">
        <x:v>Diseñar o ajustar interfaz y mensajes para administración.</x:v>
      </x:c>
      <x:c r="E66" s="6" t="str">
        <x:v>Vicente Palma</x:v>
      </x:c>
      <x:c r="F66" s="6" t="str">
        <x:v>HU-004, HU-023</x:v>
      </x:c>
      <x:c r="G66" s="6" t="str">
        <x:v>Vista o flujo revisado, campos y mensajes definidos y comportamiento móvil considerado.</x:v>
      </x:c>
      <x:c r="H66" s="11" t="str">
        <x:v>Terminado</x:v>
      </x:c>
      <x:c r="I66" s="12" t="n">
        <x:v>1</x:v>
      </x:c>
      <x:c r="J66" s="12" t="n">
        <x:v>0</x:v>
      </x:c>
      <x:c r="K66" s="13" t="d">
        <x:v>2026-09-23T12:00:00.000Z</x:v>
      </x:c>
      <x:c r="L66" s="13" t="d">
        <x:v>2026-09-23T12:00:00.000Z</x:v>
      </x:c>
      <x:c r="M66" s="11" t="str">
        <x:v>Sí</x:v>
      </x:c>
      <x:c r="N66" s="11" t="str">
        <x:v>Cierre y DoD registrados según Product Backlog. Evidencia de tarea pendiente de vincular.</x:v>
      </x:c>
      <x:c r="O66" s="11" t="str">
        <x:v>Pendiente de vincular evidencia de la tarea</x:v>
      </x:c>
      <x:c r="P66" s="11" t="str">
        <x:v>Completado</x:v>
      </x:c>
      <x:c r="Q66" s="12" t="str">
        <x:v>Sí</x:v>
      </x:c>
      <x:c r="R66" s="13" t="d">
        <x:v>2026-09-23T12:00:00.000Z</x:v>
      </x:c>
      <x:c r="S66" s="12" t="n">
        <x:f>I66-J66</x:f>
        <x:v>1</x:v>
      </x:c>
    </x:row>
    <x:row r="67" ht="38" customHeight="1">
      <x:c r="A67" s="10" t="str">
        <x:v>SB1-062</x:v>
      </x:c>
      <x:c r="B67" s="10" t="str">
        <x:v>Sprint 1</x:v>
      </x:c>
      <x:c r="C67" s="10" t="str">
        <x:v>HU-025</x:v>
      </x:c>
      <x:c r="D67" s="10" t="str">
        <x:v>Implementar la función para formularios y paneles claros.</x:v>
      </x:c>
      <x:c r="E67" s="10" t="str">
        <x:v>Alonso Urrutia</x:v>
      </x:c>
      <x:c r="F67" s="10" t="str">
        <x:v>SB1-061</x:v>
      </x:c>
      <x:c r="G67" s="10" t="str">
        <x:v>Formularios ordenados; validaciones visibles; navegación administrativa consistente; recorridos probados.</x:v>
      </x:c>
      <x:c r="H67" s="11" t="str">
        <x:v>Terminado</x:v>
      </x:c>
      <x:c r="I67" s="12" t="n">
        <x:v>2.5</x:v>
      </x:c>
      <x:c r="J67" s="12" t="n">
        <x:v>0</x:v>
      </x:c>
      <x:c r="K67" s="13" t="d">
        <x:v>2026-09-23T12:00:00.000Z</x:v>
      </x:c>
      <x:c r="L67" s="13" t="d">
        <x:v>2026-09-23T12:00:00.000Z</x:v>
      </x:c>
      <x:c r="M67" s="11" t="str">
        <x:v>Sí</x:v>
      </x:c>
      <x:c r="N67" s="11" t="str">
        <x:v>Cierre y DoD registrados según Product Backlog. Evidencia de tarea pendiente de vincular.</x:v>
      </x:c>
      <x:c r="O67" s="11" t="str">
        <x:v>Pendiente de vincular evidencia de la tarea</x:v>
      </x:c>
      <x:c r="P67" s="11" t="str">
        <x:v>Completado</x:v>
      </x:c>
      <x:c r="Q67" s="12" t="str">
        <x:v>Sí</x:v>
      </x:c>
      <x:c r="R67" s="13" t="d">
        <x:v>2026-09-23T12:00:00.000Z</x:v>
      </x:c>
      <x:c r="S67" s="12" t="n">
        <x:f>I67-J67</x:f>
        <x:v>2.5</x:v>
      </x:c>
    </x:row>
    <x:row r="68" ht="49" customHeight="1">
      <x:c r="A68" s="6" t="str">
        <x:v>SB1-063</x:v>
      </x:c>
      <x:c r="B68" s="6" t="str">
        <x:v>Sprint 1</x:v>
      </x:c>
      <x:c r="C68" s="6" t="str">
        <x:v>HU-025</x:v>
      </x:c>
      <x:c r="D68" s="6" t="str">
        <x:v>Verificar criterios de aceptación, permisos y casos negativos de HU-025.</x:v>
      </x:c>
      <x:c r="E68" s="6" t="str">
        <x:v>Franco Miranda</x:v>
      </x:c>
      <x:c r="F68" s="6" t="str">
        <x:v>SB1-062</x:v>
      </x:c>
      <x:c r="G68" s="6" t="str">
        <x:v>Casos ejecutados y evidencia vinculada; defectos clasificados; criterios del PBI verificados: Formularios ordenados; validaciones visibles; navegación administrativa consistente; recorridos probados.</x:v>
      </x:c>
      <x:c r="H68" s="11" t="str">
        <x:v>Terminado</x:v>
      </x:c>
      <x:c r="I68" s="12" t="n">
        <x:v>1</x:v>
      </x:c>
      <x:c r="J68" s="12" t="n">
        <x:v>0</x:v>
      </x:c>
      <x:c r="K68" s="13" t="d">
        <x:v>2026-09-24T12:00:00.000Z</x:v>
      </x:c>
      <x:c r="L68" s="13" t="d">
        <x:v>2026-09-24T12:00:00.000Z</x:v>
      </x:c>
      <x:c r="M68" s="11" t="str">
        <x:v>Sí</x:v>
      </x:c>
      <x:c r="N68" s="11" t="str">
        <x:v>Cierre y DoD registrados según Product Backlog. Evidencia de tarea pendiente de vincular.</x:v>
      </x:c>
      <x:c r="O68" s="11" t="str">
        <x:v>Pendiente de vincular evidencia de la tarea</x:v>
      </x:c>
      <x:c r="P68" s="11" t="str">
        <x:v>Completado</x:v>
      </x:c>
      <x:c r="Q68" s="12" t="str">
        <x:v>Sí</x:v>
      </x:c>
      <x:c r="R68" s="13" t="d">
        <x:v>2026-09-23T12:00:00.000Z</x:v>
      </x:c>
      <x:c r="S68" s="12" t="n">
        <x:f>I68-J68</x:f>
        <x:v>1</x:v>
      </x:c>
    </x:row>
    <x:row r="69" ht="38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 ht="38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 ht="49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</x:sheetData>
  <x:conditionalFormatting sqref="H9:H71">
    <x:cfRule type="containsText" dxfId="0" priority="1" operator="containsText" text="Terminado"/>
    <x:cfRule type="containsText" dxfId="1" priority="2" operator="containsText" text="Bloqueado"/>
  </x:conditionalFormatting>
  <x:dataValidations count="6">
    <x:dataValidation type="list" sqref="H69:H71">
      <x:formula1>"Por verificar,Pendiente,En progreso,Bloqueado,En revisión,Terminado"</x:formula1>
    </x:dataValidation>
    <x:dataValidation type="list" sqref="M69:M71">
      <x:formula1>"Sí,No,Parcial"</x:formula1>
    </x:dataValidation>
    <x:dataValidation type="list" sqref="H9:H68">
      <x:formula1>"Por verificar,Pendiente,En progreso,Bloqueado,En revisión,Terminado"</x:formula1>
    </x:dataValidation>
    <x:dataValidation type="list" sqref="M9:M68">
      <x:formula1>"Sí,No,Parcial,Por verificar"</x:formula1>
    </x:dataValidation>
    <x:dataValidation type="list" sqref="P9:P68">
      <x:formula1>"Completado,En revisión,Propuesto para validación,Pendiente,Pendiente de verificación"</x:formula1>
    </x:dataValidation>
    <x:dataValidation type="list" sqref="Q9:Q68">
      <x:formula1>"Sí,No,Parcial,Por verificar"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181fcd931042d0"/>
  </x:tableParts>
</x:worksheet>
</file>

<file path=xl/worksheets/sheet2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1" hidden="0" customWidth="1"/>
    <x:col min="4" max="4" width="65" hidden="0" customWidth="1"/>
    <x:col min="5" max="5" width="34" hidden="0" customWidth="1"/>
    <x:col min="6" max="6" width="28" hidden="0" customWidth="1"/>
    <x:col min="7" max="7" width="75" hidden="0" customWidth="1"/>
    <x:col min="8" max="8" width="23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8" hidden="0" customWidth="1"/>
    <x:col min="14" max="14" width="42" hidden="0" customWidth="1"/>
    <x:col min="15" max="15" width="42" hidden="0" customWidth="1"/>
    <x:col min="16" max="16" width="29" hidden="0" customWidth="1"/>
    <x:col min="17" max="17" width="29" hidden="0" customWidth="1"/>
    <x:col min="18" max="18" width="24" hidden="0" customWidth="1"/>
    <x:col min="19" max="1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Sprint Backlog SFI  •  Sprint 2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Versión 2.2</x:v>
      </x:c>
      <x:c r="B3" s="2"/>
      <x:c r="C3" s="2"/>
      <x:c r="D3" s="4" t="d">
        <x:v>2026-10-26T12:00:00.000Z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Total tareas</x:v>
      </x:c>
      <x:c r="B5" s="2" t="n">
        <x:f>COUNTA(A9:A80)</x:f>
        <x:v>72</x:v>
      </x:c>
      <x:c r="C5" s="2" t="str">
        <x:v>Tareas terminadas</x:v>
      </x:c>
      <x:c r="D5" s="2" t="n">
        <x:f>COUNTIFS(H9:H80,"Terminado",M9:M80,"Sí")</x:f>
        <x:v>47</x:v>
      </x:c>
      <x:c r="E5" s="2" t="str">
        <x:v>Bloqueadas</x:v>
      </x:c>
      <x:c r="F5" s="2" t="n">
        <x:f>COUNTIF(H9:H80,"Bloqueado")</x:f>
        <x:v>0</x:v>
      </x:c>
      <x:c r="G5" s="2"/>
      <x:c r="H5" s="2" t="str">
        <x:v>PBI completados</x:v>
      </x:c>
      <x:c r="I5" s="2" t="n">
        <x:v>17</x:v>
      </x:c>
      <x:c r="J5" s="2" t="str">
        <x:v>Total PBI</x:v>
      </x:c>
      <x:c r="K5" s="2" t="n">
        <x:v>29</x:v>
      </x:c>
      <x:c r="L5" s="2"/>
      <x:c r="M5" s="2"/>
      <x:c r="N5" s="2"/>
      <x:c r="O5" s="2"/>
    </x:row>
    <x:row r="6">
      <x:c r="A6" s="5" t="str">
        <x:v>Objetivo: Chatbot con IA, pintura inteligente, inventario y Kardex, maestros, promoción y despachos.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5" t="str">
        <x:v>Corte estimado 26/10/2026. Tareas de PBI completados marcadas según Product Backlog; evidencias por vincular. Horas y fechas son estimaciones.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6" customHeight="1">
      <x:c r="A8" s="9" t="str">
        <x:v>ID tarea</x:v>
      </x:c>
      <x:c r="B8" s="9" t="str">
        <x:v>Sprint</x:v>
      </x:c>
      <x:c r="C8" s="9" t="str">
        <x:v>PBI relacionado</x:v>
      </x:c>
      <x:c r="D8" s="9" t="str">
        <x:v>Tarea</x:v>
      </x:c>
      <x:c r="E8" s="9" t="str">
        <x:v>Responsable</x:v>
      </x:c>
      <x:c r="F8" s="9" t="str">
        <x:v>Dependencias</x:v>
      </x:c>
      <x:c r="G8" s="9" t="str">
        <x:v>Salida verificable</x:v>
      </x:c>
      <x:c r="H8" s="9" t="str">
        <x:v>Estado</x:v>
      </x:c>
      <x:c r="I8" s="9" t="str">
        <x:v>Estimación horas</x:v>
      </x:c>
      <x:c r="J8" s="9" t="str">
        <x:v>Horas restantes</x:v>
      </x:c>
      <x:c r="K8" s="9" t="str">
        <x:v>Fecha objetivo</x:v>
      </x:c>
      <x:c r="L8" s="9" t="str">
        <x:v>Fecha cierre estimada</x:v>
      </x:c>
      <x:c r="M8" s="9" t="str">
        <x:v>Cumple DoD</x:v>
      </x:c>
      <x:c r="N8" s="9" t="str">
        <x:v>Bloqueo y acción</x:v>
      </x:c>
      <x:c r="O8" s="9" t="str">
        <x:v>Evidencia</x:v>
      </x:c>
      <x:c r="P8" s="9" t="str">
        <x:v>Estado PBI (Product)</x:v>
      </x:c>
      <x:c r="Q8" s="9" t="str">
        <x:v>DoD PBI (Product)</x:v>
      </x:c>
      <x:c r="R8" s="9" t="str">
        <x:v>Inicio estimado</x:v>
      </x:c>
      <x:c r="S8" s="9" t="str">
        <x:v>Horas realizadas estimadas</x:v>
      </x:c>
    </x:row>
    <x:row r="9" ht="38" customHeight="1">
      <x:c r="A9" s="6" t="str">
        <x:v>SB2-001</x:v>
      </x:c>
      <x:c r="B9" s="6" t="str">
        <x:v>Sprint 2</x:v>
      </x:c>
      <x:c r="C9" s="6" t="str">
        <x:v>HU-046</x:v>
      </x:c>
      <x:c r="D9" s="6" t="str">
        <x:v>Diseñar o ajustar interfaz y mensajes para kardex.</x:v>
      </x:c>
      <x:c r="E9" s="6" t="str">
        <x:v>Vicente Palma</x:v>
      </x:c>
      <x:c r="F9" s="6" t="str">
        <x:v>HU-008, HU-010</x:v>
      </x:c>
      <x:c r="G9" s="6" t="str">
        <x:v>Vista o flujo revisado, campos y mensajes definidos y comportamiento móvil considerado.</x:v>
      </x:c>
      <x:c r="H9" s="11" t="str">
        <x:v>Por verificar</x:v>
      </x:c>
      <x:c r="I9" s="12" t="n">
        <x:v>1.5</x:v>
      </x:c>
      <x:c r="J9" s="12" t="n">
        <x:v>1</x:v>
      </x:c>
      <x:c r="K9" s="13" t="d">
        <x:v>2026-10-27T12:00:00.000Z</x:v>
      </x:c>
      <x:c r="L9" s="13"/>
      <x:c r="M9" s="11" t="str">
        <x:v>Por verificar</x:v>
      </x:c>
      <x:c r="N9" s="11" t="str">
        <x:v>Inicio parcial estimado al corte. Finalización proyectada; cierre no confirmado.</x:v>
      </x:c>
      <x:c r="O9" s="11" t="str">
        <x:v>Pendiente de vincular evidencia de la tarea</x:v>
      </x:c>
      <x:c r="P9" s="11" t="str">
        <x:v>Pendiente de verificación</x:v>
      </x:c>
      <x:c r="Q9" s="12" t="str">
        <x:v>Por verificar</x:v>
      </x:c>
      <x:c r="R9" s="13" t="d">
        <x:v>2026-10-23T12:00:00.000Z</x:v>
      </x:c>
      <x:c r="S9" s="12" t="n">
        <x:f>I9-J9</x:f>
        <x:v>0.5</x:v>
      </x:c>
    </x:row>
    <x:row r="10" ht="38" customHeight="1">
      <x:c r="A10" s="10" t="str">
        <x:v>SB2-002</x:v>
      </x:c>
      <x:c r="B10" s="10" t="str">
        <x:v>Sprint 2</x:v>
      </x:c>
      <x:c r="C10" s="10" t="str">
        <x:v>HU-046</x:v>
      </x:c>
      <x:c r="D10" s="10" t="str">
        <x:v>Implementar la función para consultar entradas, salidas y ajustes por producto.</x:v>
      </x:c>
      <x:c r="E10" s="10" t="str">
        <x:v>Alonso Urrutia</x:v>
      </x:c>
      <x:c r="F10" s="10" t="str">
        <x:v>SB2-001</x:v>
      </x:c>
      <x:c r="G10" s="10" t="str">
        <x:v>Cada movimiento registra producto, tipo, cantidad, fecha, usuario y referencia; saldo conciliable; correcciones mediante movimiento de ajuste.</x:v>
      </x:c>
      <x:c r="H10" s="11" t="str">
        <x:v>Por verificar</x:v>
      </x:c>
      <x:c r="I10" s="12" t="n">
        <x:v>4</x:v>
      </x:c>
      <x:c r="J10" s="12" t="n">
        <x:v>3.5</x:v>
      </x:c>
      <x:c r="K10" s="13" t="d">
        <x:v>2026-10-28T12:00:00.000Z</x:v>
      </x:c>
      <x:c r="L10" s="13"/>
      <x:c r="M10" s="11" t="str">
        <x:v>Por verificar</x:v>
      </x:c>
      <x:c r="N10" s="11" t="str">
        <x:v>Inicio parcial estimado al corte. Finalización proyectada; cierre no confirmado.</x:v>
      </x:c>
      <x:c r="O10" s="11" t="str">
        <x:v>Pendiente de vincular evidencia de la tarea</x:v>
      </x:c>
      <x:c r="P10" s="11" t="str">
        <x:v>Pendiente de verificación</x:v>
      </x:c>
      <x:c r="Q10" s="12" t="str">
        <x:v>Por verificar</x:v>
      </x:c>
      <x:c r="R10" s="13" t="d">
        <x:v>2026-10-23T12:00:00.000Z</x:v>
      </x:c>
      <x:c r="S10" s="12" t="n">
        <x:f>I10-J10</x:f>
        <x:v>0.5</x:v>
      </x:c>
    </x:row>
    <x:row r="11" ht="62" customHeight="1">
      <x:c r="A11" s="6" t="str">
        <x:v>SB2-003</x:v>
      </x:c>
      <x:c r="B11" s="6" t="str">
        <x:v>Sprint 2</x:v>
      </x:c>
      <x:c r="C11" s="6" t="str">
        <x:v>HU-046</x:v>
      </x:c>
      <x:c r="D11" s="6" t="str">
        <x:v>Verificar criterios de aceptación, permisos y casos negativos de HU-046.</x:v>
      </x:c>
      <x:c r="E11" s="6" t="str">
        <x:v>Franco Miranda</x:v>
      </x:c>
      <x:c r="F11" s="6" t="str">
        <x:v>SB2-002</x:v>
      </x:c>
      <x:c r="G11" s="6" t="str">
        <x:v>Casos ejecutados y evidencia vinculada; defectos clasificados; criterios del PBI verificados: Cada movimiento registra producto, tipo, cantidad, fecha, usuario y referencia; saldo conciliable; correcciones mediante movimiento de ajuste.</x:v>
      </x:c>
      <x:c r="H11" s="11" t="str">
        <x:v>Por verificar</x:v>
      </x:c>
      <x:c r="I11" s="12" t="n">
        <x:v>1.5</x:v>
      </x:c>
      <x:c r="J11" s="12" t="n">
        <x:v>1</x:v>
      </x:c>
      <x:c r="K11" s="13" t="d">
        <x:v>2026-10-28T12:00:00.000Z</x:v>
      </x:c>
      <x:c r="L11" s="13"/>
      <x:c r="M11" s="11" t="str">
        <x:v>Por verificar</x:v>
      </x:c>
      <x:c r="N11" s="11" t="str">
        <x:v>Inicio parcial estimado al corte. Finalización proyectada; cierre no confirmado.</x:v>
      </x:c>
      <x:c r="O11" s="11" t="str">
        <x:v>Pendiente de vincular evidencia de la tarea</x:v>
      </x:c>
      <x:c r="P11" s="11" t="str">
        <x:v>Pendiente de verificación</x:v>
      </x:c>
      <x:c r="Q11" s="12" t="str">
        <x:v>Por verificar</x:v>
      </x:c>
      <x:c r="R11" s="13" t="d">
        <x:v>2026-10-23T12:00:00.000Z</x:v>
      </x:c>
      <x:c r="S11" s="12" t="n">
        <x:f>I11-J11</x:f>
        <x:v>0.5</x:v>
      </x:c>
    </x:row>
    <x:row r="12" ht="38" customHeight="1">
      <x:c r="A12" s="10" t="str">
        <x:v>SB2-004</x:v>
      </x:c>
      <x:c r="B12" s="10" t="str">
        <x:v>Sprint 2</x:v>
      </x:c>
      <x:c r="C12" s="10" t="str">
        <x:v>HU-010</x:v>
      </x:c>
      <x:c r="D12" s="10" t="str">
        <x:v>Implementar la función para controlar las existencias.</x:v>
      </x:c>
      <x:c r="E12" s="10" t="str">
        <x:v>Alonso Urrutia</x:v>
      </x:c>
      <x:c r="F12" s="10" t="str">
        <x:v>HU-008</x:v>
      </x:c>
      <x:c r="G12" s="10" t="str">
        <x:v>Stock consultable y editable; movimientos registrados; valores negativos bloqueados; alertas por stock bajo.</x:v>
      </x:c>
      <x:c r="H12" s="11" t="str">
        <x:v>Terminado</x:v>
      </x:c>
      <x:c r="I12" s="12" t="n">
        <x:v>4</x:v>
      </x:c>
      <x:c r="J12" s="12" t="n">
        <x:v>0</x:v>
      </x:c>
      <x:c r="K12" s="13" t="d">
        <x:v>2026-10-05T12:00:00.000Z</x:v>
      </x:c>
      <x:c r="L12" s="13" t="d">
        <x:v>2026-10-05T12:00:00.000Z</x:v>
      </x:c>
      <x:c r="M12" s="11" t="str">
        <x:v>Sí</x:v>
      </x:c>
      <x:c r="N12" s="11" t="str">
        <x:v>Cierre y DoD registrados según Product Backlog. Evidencia de tarea pendiente de vincular.</x:v>
      </x:c>
      <x:c r="O12" s="11" t="str">
        <x:v>Pendiente de vincular evidencia de la tarea</x:v>
      </x:c>
      <x:c r="P12" s="11" t="str">
        <x:v>Completado</x:v>
      </x:c>
      <x:c r="Q12" s="12" t="str">
        <x:v>Sí</x:v>
      </x:c>
      <x:c r="R12" s="13" t="d">
        <x:v>2026-10-05T12:00:00.000Z</x:v>
      </x:c>
      <x:c r="S12" s="12" t="n">
        <x:f>I12-J12</x:f>
        <x:v>4</x:v>
      </x:c>
    </x:row>
    <x:row r="13" ht="49" customHeight="1">
      <x:c r="A13" s="6" t="str">
        <x:v>SB2-005</x:v>
      </x:c>
      <x:c r="B13" s="6" t="str">
        <x:v>Sprint 2</x:v>
      </x:c>
      <x:c r="C13" s="6" t="str">
        <x:v>HU-010</x:v>
      </x:c>
      <x:c r="D13" s="6" t="str">
        <x:v>Verificar criterios de aceptación, permisos y casos negativos de HU-010.</x:v>
      </x:c>
      <x:c r="E13" s="6" t="str">
        <x:v>Franco Miranda</x:v>
      </x:c>
      <x:c r="F13" s="6" t="str">
        <x:v>SB2-004</x:v>
      </x:c>
      <x:c r="G13" s="6" t="str">
        <x:v>Casos ejecutados y evidencia vinculada; defectos clasificados; criterios del PBI verificados: Stock consultable y editable; movimientos registrados; valores negativos bloqueados; alertas por stock bajo.</x:v>
      </x:c>
      <x:c r="H13" s="11" t="str">
        <x:v>Terminado</x:v>
      </x:c>
      <x:c r="I13" s="12" t="n">
        <x:v>1.5</x:v>
      </x:c>
      <x:c r="J13" s="12" t="n">
        <x:v>0</x:v>
      </x:c>
      <x:c r="K13" s="13" t="d">
        <x:v>2026-10-06T12:00:00.000Z</x:v>
      </x:c>
      <x:c r="L13" s="13" t="d">
        <x:v>2026-10-06T12:00:00.000Z</x:v>
      </x:c>
      <x:c r="M13" s="11" t="str">
        <x:v>Sí</x:v>
      </x:c>
      <x:c r="N13" s="11" t="str">
        <x:v>Cierre y DoD registrados según Product Backlog. Evidencia de tarea pendiente de vincular.</x:v>
      </x:c>
      <x:c r="O13" s="11" t="str">
        <x:v>Pendiente de vincular evidencia de la tarea</x:v>
      </x:c>
      <x:c r="P13" s="11" t="str">
        <x:v>Completado</x:v>
      </x:c>
      <x:c r="Q13" s="12" t="str">
        <x:v>Sí</x:v>
      </x:c>
      <x:c r="R13" s="13" t="d">
        <x:v>2026-10-06T12:00:00.000Z</x:v>
      </x:c>
      <x:c r="S13" s="12" t="n">
        <x:f>I13-J13</x:f>
        <x:v>1.5</x:v>
      </x:c>
    </x:row>
    <x:row r="14" ht="38" customHeight="1">
      <x:c r="A14" s="10" t="str">
        <x:v>SB2-006</x:v>
      </x:c>
      <x:c r="B14" s="10" t="str">
        <x:v>Sprint 2</x:v>
      </x:c>
      <x:c r="C14" s="10" t="str">
        <x:v>HU-011</x:v>
      </x:c>
      <x:c r="D14" s="10" t="str">
        <x:v>Implementar la función para registrar proveedores e historial de precios.</x:v>
      </x:c>
      <x:c r="E14" s="10" t="str">
        <x:v>Alonso Urrutia</x:v>
      </x:c>
      <x:c r="F14" s="10" t="str">
        <x:v>HU-008</x:v>
      </x:c>
      <x:c r="G14" s="10" t="str">
        <x:v>Proveedores administrables; productos asociados; historial de precios; datos de contacto validados.</x:v>
      </x:c>
      <x:c r="H14" s="11" t="str">
        <x:v>Terminado</x:v>
      </x:c>
      <x:c r="I14" s="12" t="n">
        <x:v>2.5</x:v>
      </x:c>
      <x:c r="J14" s="12" t="n">
        <x:v>0</x:v>
      </x:c>
      <x:c r="K14" s="13" t="d">
        <x:v>2026-10-06T12:00:00.000Z</x:v>
      </x:c>
      <x:c r="L14" s="13" t="d">
        <x:v>2026-10-06T12:00:00.000Z</x:v>
      </x:c>
      <x:c r="M14" s="11" t="str">
        <x:v>Sí</x:v>
      </x:c>
      <x:c r="N14" s="11" t="str">
        <x:v>Cierre y DoD registrados según Product Backlog. Evidencia de tarea pendiente de vincular.</x:v>
      </x:c>
      <x:c r="O14" s="11" t="str">
        <x:v>Pendiente de vincular evidencia de la tarea</x:v>
      </x:c>
      <x:c r="P14" s="11" t="str">
        <x:v>Completado</x:v>
      </x:c>
      <x:c r="Q14" s="12" t="str">
        <x:v>Sí</x:v>
      </x:c>
      <x:c r="R14" s="13" t="d">
        <x:v>2026-10-06T12:00:00.000Z</x:v>
      </x:c>
      <x:c r="S14" s="12" t="n">
        <x:f>I14-J14</x:f>
        <x:v>2.5</x:v>
      </x:c>
    </x:row>
    <x:row r="15" ht="49" customHeight="1">
      <x:c r="A15" s="6" t="str">
        <x:v>SB2-007</x:v>
      </x:c>
      <x:c r="B15" s="6" t="str">
        <x:v>Sprint 2</x:v>
      </x:c>
      <x:c r="C15" s="6" t="str">
        <x:v>HU-011</x:v>
      </x:c>
      <x:c r="D15" s="6" t="str">
        <x:v>Verificar criterios de aceptación, permisos y casos negativos de HU-011.</x:v>
      </x:c>
      <x:c r="E15" s="6" t="str">
        <x:v>Franco Miranda</x:v>
      </x:c>
      <x:c r="F15" s="6" t="str">
        <x:v>SB2-006</x:v>
      </x:c>
      <x:c r="G15" s="6" t="str">
        <x:v>Casos ejecutados y evidencia vinculada; defectos clasificados; criterios del PBI verificados: Proveedores administrables; productos asociados; historial de precios; datos de contacto validados.</x:v>
      </x:c>
      <x:c r="H15" s="11" t="str">
        <x:v>Terminado</x:v>
      </x:c>
      <x:c r="I15" s="12" t="n">
        <x:v>1</x:v>
      </x:c>
      <x:c r="J15" s="12" t="n">
        <x:v>0</x:v>
      </x:c>
      <x:c r="K15" s="13" t="d">
        <x:v>2026-10-06T12:00:00.000Z</x:v>
      </x:c>
      <x:c r="L15" s="13" t="d">
        <x:v>2026-10-06T12:00:00.000Z</x:v>
      </x:c>
      <x:c r="M15" s="11" t="str">
        <x:v>Sí</x:v>
      </x:c>
      <x:c r="N15" s="11" t="str">
        <x:v>Cierre y DoD registrados según Product Backlog. Evidencia de tarea pendiente de vincular.</x:v>
      </x:c>
      <x:c r="O15" s="11" t="str">
        <x:v>Pendiente de vincular evidencia de la tarea</x:v>
      </x:c>
      <x:c r="P15" s="11" t="str">
        <x:v>Completado</x:v>
      </x:c>
      <x:c r="Q15" s="12" t="str">
        <x:v>Sí</x:v>
      </x:c>
      <x:c r="R15" s="13" t="d">
        <x:v>2026-10-06T12:00:00.000Z</x:v>
      </x:c>
      <x:c r="S15" s="12" t="n">
        <x:f>I15-J15</x:f>
        <x:v>1</x:v>
      </x:c>
    </x:row>
    <x:row r="16" ht="38" customHeight="1">
      <x:c r="A16" s="10" t="str">
        <x:v>SB2-008</x:v>
      </x:c>
      <x:c r="B16" s="10" t="str">
        <x:v>Sprint 2</x:v>
      </x:c>
      <x:c r="C16" s="10" t="str">
        <x:v>HU-012</x:v>
      </x:c>
      <x:c r="D16" s="10" t="str">
        <x:v>Diseñar o ajustar interfaz y mensajes para abastecimiento.</x:v>
      </x:c>
      <x:c r="E16" s="10" t="str">
        <x:v>Vicente Palma</x:v>
      </x:c>
      <x:c r="F16" s="10" t="str">
        <x:v>HU-010, HU-011</x:v>
      </x:c>
      <x:c r="G16" s="10" t="str">
        <x:v>Vista o flujo revisado, campos y mensajes definidos y comportamiento móvil considerado.</x:v>
      </x:c>
      <x:c r="H16" s="11" t="str">
        <x:v>Terminado</x:v>
      </x:c>
      <x:c r="I16" s="12" t="n">
        <x:v>1</x:v>
      </x:c>
      <x:c r="J16" s="12" t="n">
        <x:v>0</x:v>
      </x:c>
      <x:c r="K16" s="13" t="d">
        <x:v>2026-10-07T12:00:00.000Z</x:v>
      </x:c>
      <x:c r="L16" s="13" t="d">
        <x:v>2026-10-07T12:00:00.000Z</x:v>
      </x:c>
      <x:c r="M16" s="11" t="str">
        <x:v>Sí</x:v>
      </x:c>
      <x:c r="N16" s="11" t="str">
        <x:v>Cierre y DoD registrados según Product Backlog. Evidencia de tarea pendiente de vincular.</x:v>
      </x:c>
      <x:c r="O16" s="11" t="str">
        <x:v>Pendiente de vincular evidencia de la tarea</x:v>
      </x:c>
      <x:c r="P16" s="11" t="str">
        <x:v>Completado</x:v>
      </x:c>
      <x:c r="Q16" s="12" t="str">
        <x:v>Sí</x:v>
      </x:c>
      <x:c r="R16" s="13" t="d">
        <x:v>2026-10-06T12:00:00.000Z</x:v>
      </x:c>
      <x:c r="S16" s="12" t="n">
        <x:f>I16-J16</x:f>
        <x:v>1</x:v>
      </x:c>
    </x:row>
    <x:row r="17" ht="38" customHeight="1">
      <x:c r="A17" s="6" t="str">
        <x:v>SB2-009</x:v>
      </x:c>
      <x:c r="B17" s="6" t="str">
        <x:v>Sprint 2</x:v>
      </x:c>
      <x:c r="C17" s="6" t="str">
        <x:v>HU-012</x:v>
      </x:c>
      <x:c r="D17" s="6" t="str">
        <x:v>Implementar la función para generar solicitudes de reposición.</x:v>
      </x:c>
      <x:c r="E17" s="6" t="str">
        <x:v>Alonso Urrutia</x:v>
      </x:c>
      <x:c r="F17" s="6" t="str">
        <x:v>SB2-008</x:v>
      </x:c>
      <x:c r="G17" s="6" t="str">
        <x:v>Productos bajo mínimo identificados; solicitud creada; estado controlado; recepción actualiza existencias.</x:v>
      </x:c>
      <x:c r="H17" s="11" t="str">
        <x:v>Terminado</x:v>
      </x:c>
      <x:c r="I17" s="12" t="n">
        <x:v>2.5</x:v>
      </x:c>
      <x:c r="J17" s="12" t="n">
        <x:v>0</x:v>
      </x:c>
      <x:c r="K17" s="13" t="d">
        <x:v>2026-10-07T12:00:00.000Z</x:v>
      </x:c>
      <x:c r="L17" s="13" t="d">
        <x:v>2026-10-07T12:00:00.000Z</x:v>
      </x:c>
      <x:c r="M17" s="11" t="str">
        <x:v>Sí</x:v>
      </x:c>
      <x:c r="N17" s="11" t="str">
        <x:v>Cierre y DoD registrados según Product Backlog. Evidencia de tarea pendiente de vincular.</x:v>
      </x:c>
      <x:c r="O17" s="11" t="str">
        <x:v>Pendiente de vincular evidencia de la tarea</x:v>
      </x:c>
      <x:c r="P17" s="11" t="str">
        <x:v>Completado</x:v>
      </x:c>
      <x:c r="Q17" s="12" t="str">
        <x:v>Sí</x:v>
      </x:c>
      <x:c r="R17" s="13" t="d">
        <x:v>2026-10-07T12:00:00.000Z</x:v>
      </x:c>
      <x:c r="S17" s="12" t="n">
        <x:f>I17-J17</x:f>
        <x:v>2.5</x:v>
      </x:c>
    </x:row>
    <x:row r="18" ht="49" customHeight="1">
      <x:c r="A18" s="10" t="str">
        <x:v>SB2-010</x:v>
      </x:c>
      <x:c r="B18" s="10" t="str">
        <x:v>Sprint 2</x:v>
      </x:c>
      <x:c r="C18" s="10" t="str">
        <x:v>HU-012</x:v>
      </x:c>
      <x:c r="D18" s="10" t="str">
        <x:v>Verificar criterios de aceptación, permisos y casos negativos de HU-012.</x:v>
      </x:c>
      <x:c r="E18" s="10" t="str">
        <x:v>Franco Miranda</x:v>
      </x:c>
      <x:c r="F18" s="10" t="str">
        <x:v>SB2-009</x:v>
      </x:c>
      <x:c r="G18" s="10" t="str">
        <x:v>Casos ejecutados y evidencia vinculada; defectos clasificados; criterios del PBI verificados: Productos bajo mínimo identificados; solicitud creada; estado controlado; recepción actualiza existencias.</x:v>
      </x:c>
      <x:c r="H18" s="11" t="str">
        <x:v>Terminado</x:v>
      </x:c>
      <x:c r="I18" s="12" t="n">
        <x:v>1</x:v>
      </x:c>
      <x:c r="J18" s="12" t="n">
        <x:v>0</x:v>
      </x:c>
      <x:c r="K18" s="13" t="d">
        <x:v>2026-10-07T12:00:00.000Z</x:v>
      </x:c>
      <x:c r="L18" s="13" t="d">
        <x:v>2026-10-07T12:00:00.000Z</x:v>
      </x:c>
      <x:c r="M18" s="11" t="str">
        <x:v>Sí</x:v>
      </x:c>
      <x:c r="N18" s="11" t="str">
        <x:v>Cierre y DoD registrados según Product Backlog. Evidencia de tarea pendiente de vincular.</x:v>
      </x:c>
      <x:c r="O18" s="11" t="str">
        <x:v>Pendiente de vincular evidencia de la tarea</x:v>
      </x:c>
      <x:c r="P18" s="11" t="str">
        <x:v>Completado</x:v>
      </x:c>
      <x:c r="Q18" s="12" t="str">
        <x:v>Sí</x:v>
      </x:c>
      <x:c r="R18" s="13" t="d">
        <x:v>2026-10-07T12:00:00.000Z</x:v>
      </x:c>
      <x:c r="S18" s="12" t="n">
        <x:f>I18-J18</x:f>
        <x:v>1</x:v>
      </x:c>
    </x:row>
    <x:row r="19" ht="38" customHeight="1">
      <x:c r="A19" s="6" t="str">
        <x:v>SB2-011</x:v>
      </x:c>
      <x:c r="B19" s="6" t="str">
        <x:v>Sprint 2</x:v>
      </x:c>
      <x:c r="C19" s="6" t="str">
        <x:v>HU-017</x:v>
      </x:c>
      <x:c r="D19" s="6" t="str">
        <x:v>Diseñar o ajustar interfaz y mensajes para entrega.</x:v>
      </x:c>
      <x:c r="E19" s="6" t="str">
        <x:v>Vicente Palma</x:v>
      </x:c>
      <x:c r="F19" s="6" t="str">
        <x:v>HU-016</x:v>
      </x:c>
      <x:c r="G19" s="6" t="str">
        <x:v>Vista o flujo revisado, campos y mensajes definidos y comportamiento móvil considerado.</x:v>
      </x:c>
      <x:c r="H19" s="11" t="str">
        <x:v>Terminado</x:v>
      </x:c>
      <x:c r="I19" s="12" t="n">
        <x:v>1</x:v>
      </x:c>
      <x:c r="J19" s="12" t="n">
        <x:v>0</x:v>
      </x:c>
      <x:c r="K19" s="13" t="d">
        <x:v>2026-10-05T12:00:00.000Z</x:v>
      </x:c>
      <x:c r="L19" s="13" t="d">
        <x:v>2026-10-05T12:00:00.000Z</x:v>
      </x:c>
      <x:c r="M19" s="11" t="str">
        <x:v>Sí</x:v>
      </x:c>
      <x:c r="N19" s="11" t="str">
        <x:v>Cierre y DoD registrados según Product Backlog. Evidencia de tarea pendiente de vincular.</x:v>
      </x:c>
      <x:c r="O19" s="11" t="str">
        <x:v>Pendiente de vincular evidencia de la tarea</x:v>
      </x:c>
      <x:c r="P19" s="11" t="str">
        <x:v>Completado</x:v>
      </x:c>
      <x:c r="Q19" s="12" t="str">
        <x:v>Sí</x:v>
      </x:c>
      <x:c r="R19" s="13" t="d">
        <x:v>2026-10-05T12:00:00.000Z</x:v>
      </x:c>
      <x:c r="S19" s="12" t="n">
        <x:f>I19-J19</x:f>
        <x:v>1</x:v>
      </x:c>
    </x:row>
    <x:row r="20" ht="38" customHeight="1">
      <x:c r="A20" s="10" t="str">
        <x:v>SB2-012</x:v>
      </x:c>
      <x:c r="B20" s="10" t="str">
        <x:v>Sprint 2</x:v>
      </x:c>
      <x:c r="C20" s="10" t="str">
        <x:v>HU-017</x:v>
      </x:c>
      <x:c r="D20" s="10" t="str">
        <x:v>Implementar la función para elegir retiro o despacho.</x:v>
      </x:c>
      <x:c r="E20" s="10" t="str">
        <x:v>Alonso Urrutia</x:v>
      </x:c>
      <x:c r="F20" s="10" t="str">
        <x:v>SB2-011</x:v>
      </x:c>
      <x:c r="G20" s="10" t="str">
        <x:v>Modalidades disponibles; dirección validada para despacho; sucursal definida para retiro; elección guardada.</x:v>
      </x:c>
      <x:c r="H20" s="11" t="str">
        <x:v>Terminado</x:v>
      </x:c>
      <x:c r="I20" s="12" t="n">
        <x:v>2.5</x:v>
      </x:c>
      <x:c r="J20" s="12" t="n">
        <x:v>0</x:v>
      </x:c>
      <x:c r="K20" s="13" t="d">
        <x:v>2026-10-08T12:00:00.000Z</x:v>
      </x:c>
      <x:c r="L20" s="13" t="d">
        <x:v>2026-10-08T12:00:00.000Z</x:v>
      </x:c>
      <x:c r="M20" s="11" t="str">
        <x:v>Sí</x:v>
      </x:c>
      <x:c r="N20" s="11" t="str">
        <x:v>Cierre y DoD registrados según Product Backlog. Evidencia de tarea pendiente de vincular.</x:v>
      </x:c>
      <x:c r="O20" s="11" t="str">
        <x:v>Pendiente de vincular evidencia de la tarea</x:v>
      </x:c>
      <x:c r="P20" s="11" t="str">
        <x:v>Completado</x:v>
      </x:c>
      <x:c r="Q20" s="12" t="str">
        <x:v>Sí</x:v>
      </x:c>
      <x:c r="R20" s="13" t="d">
        <x:v>2026-10-07T12:00:00.000Z</x:v>
      </x:c>
      <x:c r="S20" s="12" t="n">
        <x:f>I20-J20</x:f>
        <x:v>2.5</x:v>
      </x:c>
    </x:row>
    <x:row r="21" ht="49" customHeight="1">
      <x:c r="A21" s="6" t="str">
        <x:v>SB2-013</x:v>
      </x:c>
      <x:c r="B21" s="6" t="str">
        <x:v>Sprint 2</x:v>
      </x:c>
      <x:c r="C21" s="6" t="str">
        <x:v>HU-017</x:v>
      </x:c>
      <x:c r="D21" s="6" t="str">
        <x:v>Verificar criterios de aceptación, permisos y casos negativos de HU-017.</x:v>
      </x:c>
      <x:c r="E21" s="6" t="str">
        <x:v>Franco Miranda</x:v>
      </x:c>
      <x:c r="F21" s="6" t="str">
        <x:v>SB2-012</x:v>
      </x:c>
      <x:c r="G21" s="6" t="str">
        <x:v>Casos ejecutados y evidencia vinculada; defectos clasificados; criterios del PBI verificados: Modalidades disponibles; dirección validada para despacho; sucursal definida para retiro; elección guardada.</x:v>
      </x:c>
      <x:c r="H21" s="11" t="str">
        <x:v>Terminado</x:v>
      </x:c>
      <x:c r="I21" s="12" t="n">
        <x:v>1</x:v>
      </x:c>
      <x:c r="J21" s="12" t="n">
        <x:v>0</x:v>
      </x:c>
      <x:c r="K21" s="13" t="d">
        <x:v>2026-10-08T12:00:00.000Z</x:v>
      </x:c>
      <x:c r="L21" s="13" t="d">
        <x:v>2026-10-08T12:00:00.000Z</x:v>
      </x:c>
      <x:c r="M21" s="11" t="str">
        <x:v>Sí</x:v>
      </x:c>
      <x:c r="N21" s="11" t="str">
        <x:v>Cierre y DoD registrados según Product Backlog. Evidencia de tarea pendiente de vincular.</x:v>
      </x:c>
      <x:c r="O21" s="11" t="str">
        <x:v>Pendiente de vincular evidencia de la tarea</x:v>
      </x:c>
      <x:c r="P21" s="11" t="str">
        <x:v>Completado</x:v>
      </x:c>
      <x:c r="Q21" s="12" t="str">
        <x:v>Sí</x:v>
      </x:c>
      <x:c r="R21" s="13" t="d">
        <x:v>2026-10-08T12:00:00.000Z</x:v>
      </x:c>
      <x:c r="S21" s="12" t="n">
        <x:f>I21-J21</x:f>
        <x:v>1</x:v>
      </x:c>
    </x:row>
    <x:row r="22" ht="38" customHeight="1">
      <x:c r="A22" s="10" t="str">
        <x:v>SB2-014</x:v>
      </x:c>
      <x:c r="B22" s="10" t="str">
        <x:v>Sprint 2</x:v>
      </x:c>
      <x:c r="C22" s="10" t="str">
        <x:v>HU-019</x:v>
      </x:c>
      <x:c r="D22" s="10" t="str">
        <x:v>Diseñar o ajustar interfaz y mensajes para ventas.</x:v>
      </x:c>
      <x:c r="E22" s="10" t="str">
        <x:v>Vicente Palma</x:v>
      </x:c>
      <x:c r="F22" s="10" t="str">
        <x:v>HU-016, HU-017</x:v>
      </x:c>
      <x:c r="G22" s="10" t="str">
        <x:v>Vista o flujo revisado, campos y mensajes definidos y comportamiento móvil considerado.</x:v>
      </x:c>
      <x:c r="H22" s="11" t="str">
        <x:v>Terminado</x:v>
      </x:c>
      <x:c r="I22" s="12" t="n">
        <x:v>1</x:v>
      </x:c>
      <x:c r="J22" s="12" t="n">
        <x:v>0</x:v>
      </x:c>
      <x:c r="K22" s="13" t="d">
        <x:v>2026-10-08T12:00:00.000Z</x:v>
      </x:c>
      <x:c r="L22" s="13" t="d">
        <x:v>2026-10-08T12:00:00.000Z</x:v>
      </x:c>
      <x:c r="M22" s="11" t="str">
        <x:v>Sí</x:v>
      </x:c>
      <x:c r="N22" s="11" t="str">
        <x:v>Cierre y DoD registrados según Product Backlog. Evidencia de tarea pendiente de vincular.</x:v>
      </x:c>
      <x:c r="O22" s="11" t="str">
        <x:v>Pendiente de vincular evidencia de la tarea</x:v>
      </x:c>
      <x:c r="P22" s="11" t="str">
        <x:v>Completado</x:v>
      </x:c>
      <x:c r="Q22" s="12" t="str">
        <x:v>Sí</x:v>
      </x:c>
      <x:c r="R22" s="13" t="d">
        <x:v>2026-10-08T12:00:00.000Z</x:v>
      </x:c>
      <x:c r="S22" s="12" t="n">
        <x:f>I22-J22</x:f>
        <x:v>1</x:v>
      </x:c>
    </x:row>
    <x:row r="23" ht="38" customHeight="1">
      <x:c r="A23" s="6" t="str">
        <x:v>SB2-015</x:v>
      </x:c>
      <x:c r="B23" s="6" t="str">
        <x:v>Sprint 2</x:v>
      </x:c>
      <x:c r="C23" s="6" t="str">
        <x:v>HU-019</x:v>
      </x:c>
      <x:c r="D23" s="6" t="str">
        <x:v>Implementar la función para actualizar estados de ventas, retiros y despachos.</x:v>
      </x:c>
      <x:c r="E23" s="6" t="str">
        <x:v>Alonso Urrutia</x:v>
      </x:c>
      <x:c r="F23" s="6" t="str">
        <x:v>SB2-014</x:v>
      </x:c>
      <x:c r="G23" s="6" t="str">
        <x:v>Estados permitidos; transiciones controladas; panel administrativo; estado visible al cliente.</x:v>
      </x:c>
      <x:c r="H23" s="11" t="str">
        <x:v>Terminado</x:v>
      </x:c>
      <x:c r="I23" s="12" t="n">
        <x:v>2.5</x:v>
      </x:c>
      <x:c r="J23" s="12" t="n">
        <x:v>0</x:v>
      </x:c>
      <x:c r="K23" s="13" t="d">
        <x:v>2026-10-09T12:00:00.000Z</x:v>
      </x:c>
      <x:c r="L23" s="13" t="d">
        <x:v>2026-10-09T12:00:00.000Z</x:v>
      </x:c>
      <x:c r="M23" s="11" t="str">
        <x:v>Sí</x:v>
      </x:c>
      <x:c r="N23" s="11" t="str">
        <x:v>Cierre y DoD registrados según Product Backlog. Evidencia de tarea pendiente de vincular.</x:v>
      </x:c>
      <x:c r="O23" s="11" t="str">
        <x:v>Pendiente de vincular evidencia de la tarea</x:v>
      </x:c>
      <x:c r="P23" s="11" t="str">
        <x:v>Completado</x:v>
      </x:c>
      <x:c r="Q23" s="12" t="str">
        <x:v>Sí</x:v>
      </x:c>
      <x:c r="R23" s="13" t="d">
        <x:v>2026-10-08T12:00:00.000Z</x:v>
      </x:c>
      <x:c r="S23" s="12" t="n">
        <x:f>I23-J23</x:f>
        <x:v>2.5</x:v>
      </x:c>
    </x:row>
    <x:row r="24" ht="49" customHeight="1">
      <x:c r="A24" s="10" t="str">
        <x:v>SB2-016</x:v>
      </x:c>
      <x:c r="B24" s="10" t="str">
        <x:v>Sprint 2</x:v>
      </x:c>
      <x:c r="C24" s="10" t="str">
        <x:v>HU-019</x:v>
      </x:c>
      <x:c r="D24" s="10" t="str">
        <x:v>Verificar criterios de aceptación, permisos y casos negativos de HU-019.</x:v>
      </x:c>
      <x:c r="E24" s="10" t="str">
        <x:v>Franco Miranda</x:v>
      </x:c>
      <x:c r="F24" s="10" t="str">
        <x:v>SB2-015</x:v>
      </x:c>
      <x:c r="G24" s="10" t="str">
        <x:v>Casos ejecutados y evidencia vinculada; defectos clasificados; criterios del PBI verificados: Estados permitidos; transiciones controladas; panel administrativo; estado visible al cliente.</x:v>
      </x:c>
      <x:c r="H24" s="11" t="str">
        <x:v>Terminado</x:v>
      </x:c>
      <x:c r="I24" s="12" t="n">
        <x:v>1</x:v>
      </x:c>
      <x:c r="J24" s="12" t="n">
        <x:v>0</x:v>
      </x:c>
      <x:c r="K24" s="13" t="d">
        <x:v>2026-10-09T12:00:00.000Z</x:v>
      </x:c>
      <x:c r="L24" s="13" t="d">
        <x:v>2026-10-09T12:00:00.000Z</x:v>
      </x:c>
      <x:c r="M24" s="11" t="str">
        <x:v>Sí</x:v>
      </x:c>
      <x:c r="N24" s="11" t="str">
        <x:v>Cierre y DoD registrados según Product Backlog. Evidencia de tarea pendiente de vincular.</x:v>
      </x:c>
      <x:c r="O24" s="11" t="str">
        <x:v>Pendiente de vincular evidencia de la tarea</x:v>
      </x:c>
      <x:c r="P24" s="11" t="str">
        <x:v>Completado</x:v>
      </x:c>
      <x:c r="Q24" s="12" t="str">
        <x:v>Sí</x:v>
      </x:c>
      <x:c r="R24" s="13" t="d">
        <x:v>2026-10-09T12:00:00.000Z</x:v>
      </x:c>
      <x:c r="S24" s="12" t="n">
        <x:f>I24-J24</x:f>
        <x:v>1</x:v>
      </x:c>
    </x:row>
    <x:row r="25" ht="38" customHeight="1">
      <x:c r="A25" s="6" t="str">
        <x:v>SB2-017</x:v>
      </x:c>
      <x:c r="B25" s="6" t="str">
        <x:v>Sprint 2</x:v>
      </x:c>
      <x:c r="C25" s="6" t="str">
        <x:v>HU-026</x:v>
      </x:c>
      <x:c r="D25" s="6" t="str">
        <x:v>Diseñar o ajustar interfaz y mensajes para asistente ia.</x:v>
      </x:c>
      <x:c r="E25" s="6" t="str">
        <x:v>Vicente Palma</x:v>
      </x:c>
      <x:c r="F25" s="6" t="str">
        <x:v>HU-006</x:v>
      </x:c>
      <x:c r="G25" s="6" t="str">
        <x:v>Vista o flujo revisado, campos y mensajes definidos y comportamiento móvil considerado.</x:v>
      </x:c>
      <x:c r="H25" s="11" t="str">
        <x:v>Terminado</x:v>
      </x:c>
      <x:c r="I25" s="12" t="n">
        <x:v>1.5</x:v>
      </x:c>
      <x:c r="J25" s="12" t="n">
        <x:v>0</x:v>
      </x:c>
      <x:c r="K25" s="13" t="d">
        <x:v>2026-10-05T12:00:00.000Z</x:v>
      </x:c>
      <x:c r="L25" s="13" t="d">
        <x:v>2026-10-05T12:00:00.000Z</x:v>
      </x:c>
      <x:c r="M25" s="11" t="str">
        <x:v>Sí</x:v>
      </x:c>
      <x:c r="N25" s="11" t="str">
        <x:v>Cierre y DoD registrados según Product Backlog. Evidencia de tarea pendiente de vincular.</x:v>
      </x:c>
      <x:c r="O25" s="11" t="str">
        <x:v>Pendiente de vincular evidencia de la tarea</x:v>
      </x:c>
      <x:c r="P25" s="11" t="str">
        <x:v>Completado</x:v>
      </x:c>
      <x:c r="Q25" s="12" t="str">
        <x:v>Sí</x:v>
      </x:c>
      <x:c r="R25" s="13" t="d">
        <x:v>2026-10-05T12:00:00.000Z</x:v>
      </x:c>
      <x:c r="S25" s="12" t="n">
        <x:f>I25-J25</x:f>
        <x:v>1.5</x:v>
      </x:c>
    </x:row>
    <x:row r="26" ht="38" customHeight="1">
      <x:c r="A26" s="10" t="str">
        <x:v>SB2-018</x:v>
      </x:c>
      <x:c r="B26" s="10" t="str">
        <x:v>Sprint 2</x:v>
      </x:c>
      <x:c r="C26" s="10" t="str">
        <x:v>HU-026</x:v>
      </x:c>
      <x:c r="D26" s="10" t="str">
        <x:v>Implementar la función para describir un proyecto doméstico.</x:v>
      </x:c>
      <x:c r="E26" s="10" t="str">
        <x:v>Alonso Urrutia</x:v>
      </x:c>
      <x:c r="F26" s="10" t="str">
        <x:v>SB2-017</x:v>
      </x:c>
      <x:c r="G26" s="10" t="str">
        <x:v>Chat disponible; consulta enviada; respuesta comprensible; límites y advertencias informados.</x:v>
      </x:c>
      <x:c r="H26" s="11" t="str">
        <x:v>Terminado</x:v>
      </x:c>
      <x:c r="I26" s="12" t="n">
        <x:v>4</x:v>
      </x:c>
      <x:c r="J26" s="12" t="n">
        <x:v>0</x:v>
      </x:c>
      <x:c r="K26" s="13" t="d">
        <x:v>2026-10-12T12:00:00.000Z</x:v>
      </x:c>
      <x:c r="L26" s="13" t="d">
        <x:v>2026-10-12T12:00:00.000Z</x:v>
      </x:c>
      <x:c r="M26" s="11" t="str">
        <x:v>Sí</x:v>
      </x:c>
      <x:c r="N26" s="11" t="str">
        <x:v>Cierre y DoD registrados según Product Backlog. Evidencia de tarea pendiente de vincular.</x:v>
      </x:c>
      <x:c r="O26" s="11" t="str">
        <x:v>Pendiente de vincular evidencia de la tarea</x:v>
      </x:c>
      <x:c r="P26" s="11" t="str">
        <x:v>Completado</x:v>
      </x:c>
      <x:c r="Q26" s="12" t="str">
        <x:v>Sí</x:v>
      </x:c>
      <x:c r="R26" s="13" t="d">
        <x:v>2026-10-09T12:00:00.000Z</x:v>
      </x:c>
      <x:c r="S26" s="12" t="n">
        <x:f>I26-J26</x:f>
        <x:v>4</x:v>
      </x:c>
    </x:row>
    <x:row r="27" ht="49" customHeight="1">
      <x:c r="A27" s="6" t="str">
        <x:v>SB2-019</x:v>
      </x:c>
      <x:c r="B27" s="6" t="str">
        <x:v>Sprint 2</x:v>
      </x:c>
      <x:c r="C27" s="6" t="str">
        <x:v>HU-026</x:v>
      </x:c>
      <x:c r="D27" s="6" t="str">
        <x:v>Verificar criterios de aceptación, permisos y casos negativos de HU-026.</x:v>
      </x:c>
      <x:c r="E27" s="6" t="str">
        <x:v>Franco Miranda</x:v>
      </x:c>
      <x:c r="F27" s="6" t="str">
        <x:v>SB2-018</x:v>
      </x:c>
      <x:c r="G27" s="6" t="str">
        <x:v>Casos ejecutados y evidencia vinculada; defectos clasificados; criterios del PBI verificados: Chat disponible; consulta enviada; respuesta comprensible; límites y advertencias informados.</x:v>
      </x:c>
      <x:c r="H27" s="11" t="str">
        <x:v>Terminado</x:v>
      </x:c>
      <x:c r="I27" s="12" t="n">
        <x:v>1.5</x:v>
      </x:c>
      <x:c r="J27" s="12" t="n">
        <x:v>0</x:v>
      </x:c>
      <x:c r="K27" s="13" t="d">
        <x:v>2026-10-12T12:00:00.000Z</x:v>
      </x:c>
      <x:c r="L27" s="13" t="d">
        <x:v>2026-10-12T12:00:00.000Z</x:v>
      </x:c>
      <x:c r="M27" s="11" t="str">
        <x:v>Sí</x:v>
      </x:c>
      <x:c r="N27" s="11" t="str">
        <x:v>Cierre y DoD registrados según Product Backlog. Evidencia de tarea pendiente de vincular.</x:v>
      </x:c>
      <x:c r="O27" s="11" t="str">
        <x:v>Pendiente de vincular evidencia de la tarea</x:v>
      </x:c>
      <x:c r="P27" s="11" t="str">
        <x:v>Completado</x:v>
      </x:c>
      <x:c r="Q27" s="12" t="str">
        <x:v>Sí</x:v>
      </x:c>
      <x:c r="R27" s="13" t="d">
        <x:v>2026-10-12T12:00:00.000Z</x:v>
      </x:c>
      <x:c r="S27" s="12" t="n">
        <x:f>I27-J27</x:f>
        <x:v>1.5</x:v>
      </x:c>
    </x:row>
    <x:row r="28" ht="38" customHeight="1">
      <x:c r="A28" s="10" t="str">
        <x:v>SB2-020</x:v>
      </x:c>
      <x:c r="B28" s="10" t="str">
        <x:v>Sprint 2</x:v>
      </x:c>
      <x:c r="C28" s="10" t="str">
        <x:v>HU-027</x:v>
      </x:c>
      <x:c r="D28" s="10" t="str">
        <x:v>Diseñar o ajustar interfaz y mensajes para asistente ia.</x:v>
      </x:c>
      <x:c r="E28" s="10" t="str">
        <x:v>Vicente Palma</x:v>
      </x:c>
      <x:c r="F28" s="10" t="str">
        <x:v>HU-026, HU-006</x:v>
      </x:c>
      <x:c r="G28" s="10" t="str">
        <x:v>Vista o flujo revisado, campos y mensajes definidos y comportamiento móvil considerado.</x:v>
      </x:c>
      <x:c r="H28" s="11" t="str">
        <x:v>Terminado</x:v>
      </x:c>
      <x:c r="I28" s="12" t="n">
        <x:v>1.5</x:v>
      </x:c>
      <x:c r="J28" s="12" t="n">
        <x:v>0</x:v>
      </x:c>
      <x:c r="K28" s="13" t="d">
        <x:v>2026-10-13T12:00:00.000Z</x:v>
      </x:c>
      <x:c r="L28" s="13" t="d">
        <x:v>2026-10-13T12:00:00.000Z</x:v>
      </x:c>
      <x:c r="M28" s="11" t="str">
        <x:v>Sí</x:v>
      </x:c>
      <x:c r="N28" s="11" t="str">
        <x:v>Cierre y DoD registrados según Product Backlog. Evidencia de tarea pendiente de vincular.</x:v>
      </x:c>
      <x:c r="O28" s="11" t="str">
        <x:v>Pendiente de vincular evidencia de la tarea</x:v>
      </x:c>
      <x:c r="P28" s="11" t="str">
        <x:v>Completado</x:v>
      </x:c>
      <x:c r="Q28" s="12" t="str">
        <x:v>Sí</x:v>
      </x:c>
      <x:c r="R28" s="13" t="d">
        <x:v>2026-10-12T12:00:00.000Z</x:v>
      </x:c>
      <x:c r="S28" s="12" t="n">
        <x:f>I28-J28</x:f>
        <x:v>1.5</x:v>
      </x:c>
    </x:row>
    <x:row r="29" ht="38" customHeight="1">
      <x:c r="A29" s="6" t="str">
        <x:v>SB2-021</x:v>
      </x:c>
      <x:c r="B29" s="6" t="str">
        <x:v>Sprint 2</x:v>
      </x:c>
      <x:c r="C29" s="6" t="str">
        <x:v>HU-027</x:v>
      </x:c>
      <x:c r="D29" s="6" t="str">
        <x:v>Implementar la función para recibir productos del catálogo relacionados con su consulta.</x:v>
      </x:c>
      <x:c r="E29" s="6" t="str">
        <x:v>Alonso Urrutia</x:v>
      </x:c>
      <x:c r="F29" s="6" t="str">
        <x:v>SB2-020</x:v>
      </x:c>
      <x:c r="G29" s="6" t="str">
        <x:v>Recomendaciones vinculadas a productos existentes; disponibilidad considerada; enlaces a ficha; sin productos inventados.</x:v>
      </x:c>
      <x:c r="H29" s="11" t="str">
        <x:v>Terminado</x:v>
      </x:c>
      <x:c r="I29" s="12" t="n">
        <x:v>4</x:v>
      </x:c>
      <x:c r="J29" s="12" t="n">
        <x:v>0</x:v>
      </x:c>
      <x:c r="K29" s="13" t="d">
        <x:v>2026-10-14T12:00:00.000Z</x:v>
      </x:c>
      <x:c r="L29" s="13" t="d">
        <x:v>2026-10-14T12:00:00.000Z</x:v>
      </x:c>
      <x:c r="M29" s="11" t="str">
        <x:v>Sí</x:v>
      </x:c>
      <x:c r="N29" s="11" t="str">
        <x:v>Cierre y DoD registrados según Product Backlog. Evidencia de tarea pendiente de vincular.</x:v>
      </x:c>
      <x:c r="O29" s="11" t="str">
        <x:v>Pendiente de vincular evidencia de la tarea</x:v>
      </x:c>
      <x:c r="P29" s="11" t="str">
        <x:v>Completado</x:v>
      </x:c>
      <x:c r="Q29" s="12" t="str">
        <x:v>Sí</x:v>
      </x:c>
      <x:c r="R29" s="13" t="d">
        <x:v>2026-10-13T12:00:00.000Z</x:v>
      </x:c>
      <x:c r="S29" s="12" t="n">
        <x:f>I29-J29</x:f>
        <x:v>4</x:v>
      </x:c>
    </x:row>
    <x:row r="30" ht="62" customHeight="1">
      <x:c r="A30" s="10" t="str">
        <x:v>SB2-022</x:v>
      </x:c>
      <x:c r="B30" s="10" t="str">
        <x:v>Sprint 2</x:v>
      </x:c>
      <x:c r="C30" s="10" t="str">
        <x:v>HU-027</x:v>
      </x:c>
      <x:c r="D30" s="10" t="str">
        <x:v>Verificar criterios de aceptación, permisos y casos negativos de HU-027.</x:v>
      </x:c>
      <x:c r="E30" s="10" t="str">
        <x:v>Franco Miranda</x:v>
      </x:c>
      <x:c r="F30" s="10" t="str">
        <x:v>SB2-021</x:v>
      </x:c>
      <x:c r="G30" s="10" t="str">
        <x:v>Casos ejecutados y evidencia vinculada; defectos clasificados; criterios del PBI verificados: Recomendaciones vinculadas a productos existentes; disponibilidad considerada; enlaces a ficha; sin productos inventados.</x:v>
      </x:c>
      <x:c r="H30" s="11" t="str">
        <x:v>Terminado</x:v>
      </x:c>
      <x:c r="I30" s="12" t="n">
        <x:v>1.5</x:v>
      </x:c>
      <x:c r="J30" s="12" t="n">
        <x:v>0</x:v>
      </x:c>
      <x:c r="K30" s="13" t="d">
        <x:v>2026-10-14T12:00:00.000Z</x:v>
      </x:c>
      <x:c r="L30" s="13" t="d">
        <x:v>2026-10-14T12:00:00.000Z</x:v>
      </x:c>
      <x:c r="M30" s="11" t="str">
        <x:v>Sí</x:v>
      </x:c>
      <x:c r="N30" s="11" t="str">
        <x:v>Cierre y DoD registrados según Product Backlog. Evidencia de tarea pendiente de vincular.</x:v>
      </x:c>
      <x:c r="O30" s="11" t="str">
        <x:v>Pendiente de vincular evidencia de la tarea</x:v>
      </x:c>
      <x:c r="P30" s="11" t="str">
        <x:v>Completado</x:v>
      </x:c>
      <x:c r="Q30" s="12" t="str">
        <x:v>Sí</x:v>
      </x:c>
      <x:c r="R30" s="13" t="d">
        <x:v>2026-10-14T12:00:00.000Z</x:v>
      </x:c>
      <x:c r="S30" s="12" t="n">
        <x:f>I30-J30</x:f>
        <x:v>1.5</x:v>
      </x:c>
    </x:row>
    <x:row r="31" ht="38" customHeight="1">
      <x:c r="A31" s="6" t="str">
        <x:v>SB2-023</x:v>
      </x:c>
      <x:c r="B31" s="6" t="str">
        <x:v>Sprint 2</x:v>
      </x:c>
      <x:c r="C31" s="6" t="str">
        <x:v>HU-028</x:v>
      </x:c>
      <x:c r="D31" s="6" t="str">
        <x:v>Diseñar o ajustar interfaz y mensajes para asistente ia.</x:v>
      </x:c>
      <x:c r="E31" s="6" t="str">
        <x:v>Vicente Palma</x:v>
      </x:c>
      <x:c r="F31" s="6" t="str">
        <x:v>HU-026</x:v>
      </x:c>
      <x:c r="G31" s="6" t="str">
        <x:v>Vista o flujo revisado, campos y mensajes definidos y comportamiento móvil considerado.</x:v>
      </x:c>
      <x:c r="H31" s="11" t="str">
        <x:v>Terminado</x:v>
      </x:c>
      <x:c r="I31" s="12" t="n">
        <x:v>1.5</x:v>
      </x:c>
      <x:c r="J31" s="12" t="n">
        <x:v>0</x:v>
      </x:c>
      <x:c r="K31" s="13" t="d">
        <x:v>2026-10-13T12:00:00.000Z</x:v>
      </x:c>
      <x:c r="L31" s="13" t="d">
        <x:v>2026-10-13T12:00:00.000Z</x:v>
      </x:c>
      <x:c r="M31" s="11" t="str">
        <x:v>Sí</x:v>
      </x:c>
      <x:c r="N31" s="11" t="str">
        <x:v>Cierre y DoD registrados según Product Backlog. Evidencia de tarea pendiente de vincular.</x:v>
      </x:c>
      <x:c r="O31" s="11" t="str">
        <x:v>Pendiente de vincular evidencia de la tarea</x:v>
      </x:c>
      <x:c r="P31" s="11" t="str">
        <x:v>Completado</x:v>
      </x:c>
      <x:c r="Q31" s="12" t="str">
        <x:v>Sí</x:v>
      </x:c>
      <x:c r="R31" s="13" t="d">
        <x:v>2026-10-13T12:00:00.000Z</x:v>
      </x:c>
      <x:c r="S31" s="12" t="n">
        <x:f>I31-J31</x:f>
        <x:v>1.5</x:v>
      </x:c>
    </x:row>
    <x:row r="32" ht="38" customHeight="1">
      <x:c r="A32" s="10" t="str">
        <x:v>SB2-024</x:v>
      </x:c>
      <x:c r="B32" s="10" t="str">
        <x:v>Sprint 2</x:v>
      </x:c>
      <x:c r="C32" s="10" t="str">
        <x:v>HU-028</x:v>
      </x:c>
      <x:c r="D32" s="10" t="str">
        <x:v>Implementar la función para obtener una lista estimada de materiales y tiempo.</x:v>
      </x:c>
      <x:c r="E32" s="10" t="str">
        <x:v>Alonso Urrutia</x:v>
      </x:c>
      <x:c r="F32" s="10" t="str">
        <x:v>SB2-023</x:v>
      </x:c>
      <x:c r="G32" s="10" t="str">
        <x:v>Materiales enumerados; cantidades identificadas como estimaciones; tiempo aproximado; recomendaciones explicadas.</x:v>
      </x:c>
      <x:c r="H32" s="11" t="str">
        <x:v>Terminado</x:v>
      </x:c>
      <x:c r="I32" s="12" t="n">
        <x:v>4</x:v>
      </x:c>
      <x:c r="J32" s="12" t="n">
        <x:v>0</x:v>
      </x:c>
      <x:c r="K32" s="13" t="d">
        <x:v>2026-10-15T12:00:00.000Z</x:v>
      </x:c>
      <x:c r="L32" s="13" t="d">
        <x:v>2026-10-15T12:00:00.000Z</x:v>
      </x:c>
      <x:c r="M32" s="11" t="str">
        <x:v>Sí</x:v>
      </x:c>
      <x:c r="N32" s="11" t="str">
        <x:v>Cierre y DoD registrados según Product Backlog. Evidencia de tarea pendiente de vincular.</x:v>
      </x:c>
      <x:c r="O32" s="11" t="str">
        <x:v>Pendiente de vincular evidencia de la tarea</x:v>
      </x:c>
      <x:c r="P32" s="11" t="str">
        <x:v>Completado</x:v>
      </x:c>
      <x:c r="Q32" s="12" t="str">
        <x:v>Sí</x:v>
      </x:c>
      <x:c r="R32" s="13" t="d">
        <x:v>2026-10-14T12:00:00.000Z</x:v>
      </x:c>
      <x:c r="S32" s="12" t="n">
        <x:f>I32-J32</x:f>
        <x:v>4</x:v>
      </x:c>
    </x:row>
    <x:row r="33" ht="49" customHeight="1">
      <x:c r="A33" s="6" t="str">
        <x:v>SB2-025</x:v>
      </x:c>
      <x:c r="B33" s="6" t="str">
        <x:v>Sprint 2</x:v>
      </x:c>
      <x:c r="C33" s="6" t="str">
        <x:v>HU-028</x:v>
      </x:c>
      <x:c r="D33" s="6" t="str">
        <x:v>Verificar criterios de aceptación, permisos y casos negativos de HU-028.</x:v>
      </x:c>
      <x:c r="E33" s="6" t="str">
        <x:v>Franco Miranda</x:v>
      </x:c>
      <x:c r="F33" s="6" t="str">
        <x:v>SB2-024</x:v>
      </x:c>
      <x:c r="G33" s="6" t="str">
        <x:v>Casos ejecutados y evidencia vinculada; defectos clasificados; criterios del PBI verificados: Materiales enumerados; cantidades identificadas como estimaciones; tiempo aproximado; recomendaciones explicadas.</x:v>
      </x:c>
      <x:c r="H33" s="11" t="str">
        <x:v>Terminado</x:v>
      </x:c>
      <x:c r="I33" s="12" t="n">
        <x:v>1.5</x:v>
      </x:c>
      <x:c r="J33" s="12" t="n">
        <x:v>0</x:v>
      </x:c>
      <x:c r="K33" s="13" t="d">
        <x:v>2026-10-15T12:00:00.000Z</x:v>
      </x:c>
      <x:c r="L33" s="13" t="d">
        <x:v>2026-10-15T12:00:00.000Z</x:v>
      </x:c>
      <x:c r="M33" s="11" t="str">
        <x:v>Sí</x:v>
      </x:c>
      <x:c r="N33" s="11" t="str">
        <x:v>Cierre y DoD registrados según Product Backlog. Evidencia de tarea pendiente de vincular.</x:v>
      </x:c>
      <x:c r="O33" s="11" t="str">
        <x:v>Pendiente de vincular evidencia de la tarea</x:v>
      </x:c>
      <x:c r="P33" s="11" t="str">
        <x:v>Completado</x:v>
      </x:c>
      <x:c r="Q33" s="12" t="str">
        <x:v>Sí</x:v>
      </x:c>
      <x:c r="R33" s="13" t="d">
        <x:v>2026-10-15T12:00:00.000Z</x:v>
      </x:c>
      <x:c r="S33" s="12" t="n">
        <x:f>I33-J33</x:f>
        <x:v>1.5</x:v>
      </x:c>
    </x:row>
    <x:row r="34" ht="38" customHeight="1">
      <x:c r="A34" s="10" t="str">
        <x:v>SB2-026</x:v>
      </x:c>
      <x:c r="B34" s="10" t="str">
        <x:v>Sprint 2</x:v>
      </x:c>
      <x:c r="C34" s="10" t="str">
        <x:v>HU-029</x:v>
      </x:c>
      <x:c r="D34" s="10" t="str">
        <x:v>Implementar la función para controlar errores y respuestas inseguras de la IA.</x:v>
      </x:c>
      <x:c r="E34" s="10" t="str">
        <x:v>Alonso Urrutia</x:v>
      </x:c>
      <x:c r="F34" s="10" t="str">
        <x:v>HU-026</x:v>
      </x:c>
      <x:c r="G34" s="10" t="str">
        <x:v>Errores externos controlados; consultas ambiguas aclaradas; contenido riesgoso limitado; registros sin datos sensibles.</x:v>
      </x:c>
      <x:c r="H34" s="11" t="str">
        <x:v>Terminado</x:v>
      </x:c>
      <x:c r="I34" s="12" t="n">
        <x:v>2.5</x:v>
      </x:c>
      <x:c r="J34" s="12" t="n">
        <x:v>0</x:v>
      </x:c>
      <x:c r="K34" s="13" t="d">
        <x:v>2026-10-15T12:00:00.000Z</x:v>
      </x:c>
      <x:c r="L34" s="13" t="d">
        <x:v>2026-10-15T12:00:00.000Z</x:v>
      </x:c>
      <x:c r="M34" s="11" t="str">
        <x:v>Sí</x:v>
      </x:c>
      <x:c r="N34" s="11" t="str">
        <x:v>Cierre y DoD registrados según Product Backlog. Evidencia de tarea pendiente de vincular.</x:v>
      </x:c>
      <x:c r="O34" s="11" t="str">
        <x:v>Pendiente de vincular evidencia de la tarea</x:v>
      </x:c>
      <x:c r="P34" s="11" t="str">
        <x:v>Completado</x:v>
      </x:c>
      <x:c r="Q34" s="12" t="str">
        <x:v>Sí</x:v>
      </x:c>
      <x:c r="R34" s="13" t="d">
        <x:v>2026-10-15T12:00:00.000Z</x:v>
      </x:c>
      <x:c r="S34" s="12" t="n">
        <x:f>I34-J34</x:f>
        <x:v>2.5</x:v>
      </x:c>
    </x:row>
    <x:row r="35" ht="49" customHeight="1">
      <x:c r="A35" s="6" t="str">
        <x:v>SB2-027</x:v>
      </x:c>
      <x:c r="B35" s="6" t="str">
        <x:v>Sprint 2</x:v>
      </x:c>
      <x:c r="C35" s="6" t="str">
        <x:v>HU-029</x:v>
      </x:c>
      <x:c r="D35" s="6" t="str">
        <x:v>Verificar criterios de aceptación, permisos y casos negativos de HU-029.</x:v>
      </x:c>
      <x:c r="E35" s="6" t="str">
        <x:v>Franco Miranda</x:v>
      </x:c>
      <x:c r="F35" s="6" t="str">
        <x:v>SB2-026</x:v>
      </x:c>
      <x:c r="G35" s="6" t="str">
        <x:v>Casos ejecutados y evidencia vinculada; defectos clasificados; criterios del PBI verificados: Errores externos controlados; consultas ambiguas aclaradas; contenido riesgoso limitado; registros sin datos sensibles.</x:v>
      </x:c>
      <x:c r="H35" s="11" t="str">
        <x:v>Terminado</x:v>
      </x:c>
      <x:c r="I35" s="12" t="n">
        <x:v>1</x:v>
      </x:c>
      <x:c r="J35" s="12" t="n">
        <x:v>0</x:v>
      </x:c>
      <x:c r="K35" s="13" t="d">
        <x:v>2026-10-16T12:00:00.000Z</x:v>
      </x:c>
      <x:c r="L35" s="13" t="d">
        <x:v>2026-10-16T12:00:00.000Z</x:v>
      </x:c>
      <x:c r="M35" s="11" t="str">
        <x:v>Sí</x:v>
      </x:c>
      <x:c r="N35" s="11" t="str">
        <x:v>Cierre y DoD registrados según Product Backlog. Evidencia de tarea pendiente de vincular.</x:v>
      </x:c>
      <x:c r="O35" s="11" t="str">
        <x:v>Pendiente de vincular evidencia de la tarea</x:v>
      </x:c>
      <x:c r="P35" s="11" t="str">
        <x:v>Completado</x:v>
      </x:c>
      <x:c r="Q35" s="12" t="str">
        <x:v>Sí</x:v>
      </x:c>
      <x:c r="R35" s="13" t="d">
        <x:v>2026-10-15T12:00:00.000Z</x:v>
      </x:c>
      <x:c r="S35" s="12" t="n">
        <x:f>I35-J35</x:f>
        <x:v>1</x:v>
      </x:c>
    </x:row>
    <x:row r="36" ht="38" customHeight="1">
      <x:c r="A36" s="10" t="str">
        <x:v>SB2-028</x:v>
      </x:c>
      <x:c r="B36" s="10" t="str">
        <x:v>Sprint 2</x:v>
      </x:c>
      <x:c r="C36" s="10" t="str">
        <x:v>HU-030</x:v>
      </x:c>
      <x:c r="D36" s="10" t="str">
        <x:v>Diseñar o ajustar interfaz y mensajes para pintura inteligente.</x:v>
      </x:c>
      <x:c r="E36" s="10" t="str">
        <x:v>Vicente Palma</x:v>
      </x:c>
      <x:c r="F36" s="10" t="str">
        <x:v>HU-028</x:v>
      </x:c>
      <x:c r="G36" s="10" t="str">
        <x:v>Vista o flujo revisado, campos y mensajes definidos y comportamiento móvil considerado.</x:v>
      </x:c>
      <x:c r="H36" s="11" t="str">
        <x:v>Terminado</x:v>
      </x:c>
      <x:c r="I36" s="12" t="n">
        <x:v>1.5</x:v>
      </x:c>
      <x:c r="J36" s="12" t="n">
        <x:v>0</x:v>
      </x:c>
      <x:c r="K36" s="13" t="d">
        <x:v>2026-10-15T12:00:00.000Z</x:v>
      </x:c>
      <x:c r="L36" s="13" t="d">
        <x:v>2026-10-15T12:00:00.000Z</x:v>
      </x:c>
      <x:c r="M36" s="11" t="str">
        <x:v>Sí</x:v>
      </x:c>
      <x:c r="N36" s="11" t="str">
        <x:v>Cierre y DoD registrados según Product Backlog. Evidencia de tarea pendiente de vincular.</x:v>
      </x:c>
      <x:c r="O36" s="11" t="str">
        <x:v>Pendiente de vincular evidencia de la tarea</x:v>
      </x:c>
      <x:c r="P36" s="11" t="str">
        <x:v>Completado</x:v>
      </x:c>
      <x:c r="Q36" s="12" t="str">
        <x:v>Sí</x:v>
      </x:c>
      <x:c r="R36" s="13" t="d">
        <x:v>2026-10-15T12:00:00.000Z</x:v>
      </x:c>
      <x:c r="S36" s="12" t="n">
        <x:f>I36-J36</x:f>
        <x:v>1.5</x:v>
      </x:c>
    </x:row>
    <x:row r="37" ht="38" customHeight="1">
      <x:c r="A37" s="6" t="str">
        <x:v>SB2-029</x:v>
      </x:c>
      <x:c r="B37" s="6" t="str">
        <x:v>Sprint 2</x:v>
      </x:c>
      <x:c r="C37" s="6" t="str">
        <x:v>HU-030</x:v>
      </x:c>
      <x:c r="D37" s="6" t="str">
        <x:v>Implementar la función para calcular la pintura necesaria según las dimensiones.</x:v>
      </x:c>
      <x:c r="E37" s="6" t="str">
        <x:v>Alonso Urrutia</x:v>
      </x:c>
      <x:c r="F37" s="6" t="str">
        <x:v>SB2-028</x:v>
      </x:c>
      <x:c r="G37" s="6" t="str">
        <x:v>Superficie calculada; puertas y ventanas descontables; rendimiento y manos configurables; resultado verificable.</x:v>
      </x:c>
      <x:c r="H37" s="11" t="str">
        <x:v>Terminado</x:v>
      </x:c>
      <x:c r="I37" s="12" t="n">
        <x:v>4</x:v>
      </x:c>
      <x:c r="J37" s="12" t="n">
        <x:v>0</x:v>
      </x:c>
      <x:c r="K37" s="13" t="d">
        <x:v>2026-10-16T12:00:00.000Z</x:v>
      </x:c>
      <x:c r="L37" s="13" t="d">
        <x:v>2026-10-16T12:00:00.000Z</x:v>
      </x:c>
      <x:c r="M37" s="11" t="str">
        <x:v>Sí</x:v>
      </x:c>
      <x:c r="N37" s="11" t="str">
        <x:v>Cierre y DoD registrados según Product Backlog. Evidencia de tarea pendiente de vincular.</x:v>
      </x:c>
      <x:c r="O37" s="11" t="str">
        <x:v>Pendiente de vincular evidencia de la tarea</x:v>
      </x:c>
      <x:c r="P37" s="11" t="str">
        <x:v>Completado</x:v>
      </x:c>
      <x:c r="Q37" s="12" t="str">
        <x:v>Sí</x:v>
      </x:c>
      <x:c r="R37" s="13" t="d">
        <x:v>2026-10-16T12:00:00.000Z</x:v>
      </x:c>
      <x:c r="S37" s="12" t="n">
        <x:f>I37-J37</x:f>
        <x:v>4</x:v>
      </x:c>
    </x:row>
    <x:row r="38" ht="49" customHeight="1">
      <x:c r="A38" s="10" t="str">
        <x:v>SB2-030</x:v>
      </x:c>
      <x:c r="B38" s="10" t="str">
        <x:v>Sprint 2</x:v>
      </x:c>
      <x:c r="C38" s="10" t="str">
        <x:v>HU-030</x:v>
      </x:c>
      <x:c r="D38" s="10" t="str">
        <x:v>Verificar criterios de aceptación, permisos y casos negativos de HU-030.</x:v>
      </x:c>
      <x:c r="E38" s="10" t="str">
        <x:v>Franco Miranda</x:v>
      </x:c>
      <x:c r="F38" s="10" t="str">
        <x:v>SB2-029</x:v>
      </x:c>
      <x:c r="G38" s="10" t="str">
        <x:v>Casos ejecutados y evidencia vinculada; defectos clasificados; criterios del PBI verificados: Superficie calculada; puertas y ventanas descontables; rendimiento y manos configurables; resultado verificable.</x:v>
      </x:c>
      <x:c r="H38" s="11" t="str">
        <x:v>Terminado</x:v>
      </x:c>
      <x:c r="I38" s="12" t="n">
        <x:v>1.5</x:v>
      </x:c>
      <x:c r="J38" s="12" t="n">
        <x:v>0</x:v>
      </x:c>
      <x:c r="K38" s="13" t="d">
        <x:v>2026-10-19T12:00:00.000Z</x:v>
      </x:c>
      <x:c r="L38" s="13" t="d">
        <x:v>2026-10-19T12:00:00.000Z</x:v>
      </x:c>
      <x:c r="M38" s="11" t="str">
        <x:v>Sí</x:v>
      </x:c>
      <x:c r="N38" s="11" t="str">
        <x:v>Cierre y DoD registrados según Product Backlog. Evidencia de tarea pendiente de vincular.</x:v>
      </x:c>
      <x:c r="O38" s="11" t="str">
        <x:v>Pendiente de vincular evidencia de la tarea</x:v>
      </x:c>
      <x:c r="P38" s="11" t="str">
        <x:v>Completado</x:v>
      </x:c>
      <x:c r="Q38" s="12" t="str">
        <x:v>Sí</x:v>
      </x:c>
      <x:c r="R38" s="13" t="d">
        <x:v>2026-10-19T12:00:00.000Z</x:v>
      </x:c>
      <x:c r="S38" s="12" t="n">
        <x:f>I38-J38</x:f>
        <x:v>1.5</x:v>
      </x:c>
    </x:row>
    <x:row r="39" ht="38" customHeight="1">
      <x:c r="A39" s="6" t="str">
        <x:v>SB2-031</x:v>
      </x:c>
      <x:c r="B39" s="6" t="str">
        <x:v>Sprint 2</x:v>
      </x:c>
      <x:c r="C39" s="6" t="str">
        <x:v>HU-031</x:v>
      </x:c>
      <x:c r="D39" s="6" t="str">
        <x:v>Diseñar o ajustar interfaz y mensajes para pintura inteligente.</x:v>
      </x:c>
      <x:c r="E39" s="6" t="str">
        <x:v>Vicente Palma</x:v>
      </x:c>
      <x:c r="F39" s="6" t="str">
        <x:v>HU-026</x:v>
      </x:c>
      <x:c r="G39" s="6" t="str">
        <x:v>Vista o flujo revisado, campos y mensajes definidos y comportamiento móvil considerado.</x:v>
      </x:c>
      <x:c r="H39" s="11" t="str">
        <x:v>Terminado</x:v>
      </x:c>
      <x:c r="I39" s="12" t="n">
        <x:v>1.5</x:v>
      </x:c>
      <x:c r="J39" s="12" t="n">
        <x:v>0</x:v>
      </x:c>
      <x:c r="K39" s="13" t="d">
        <x:v>2026-10-13T12:00:00.000Z</x:v>
      </x:c>
      <x:c r="L39" s="13" t="d">
        <x:v>2026-10-13T12:00:00.000Z</x:v>
      </x:c>
      <x:c r="M39" s="11" t="str">
        <x:v>Sí</x:v>
      </x:c>
      <x:c r="N39" s="11" t="str">
        <x:v>Cierre y DoD registrados según Product Backlog. Evidencia de tarea pendiente de vincular.</x:v>
      </x:c>
      <x:c r="O39" s="11" t="str">
        <x:v>Pendiente de vincular evidencia de la tarea</x:v>
      </x:c>
      <x:c r="P39" s="11" t="str">
        <x:v>Completado</x:v>
      </x:c>
      <x:c r="Q39" s="12" t="str">
        <x:v>Sí</x:v>
      </x:c>
      <x:c r="R39" s="13" t="d">
        <x:v>2026-10-13T12:00:00.000Z</x:v>
      </x:c>
      <x:c r="S39" s="12" t="n">
        <x:f>I39-J39</x:f>
        <x:v>1.5</x:v>
      </x:c>
    </x:row>
    <x:row r="40" ht="38" customHeight="1">
      <x:c r="A40" s="10" t="str">
        <x:v>SB2-032</x:v>
      </x:c>
      <x:c r="B40" s="10" t="str">
        <x:v>Sprint 2</x:v>
      </x:c>
      <x:c r="C40" s="10" t="str">
        <x:v>HU-031</x:v>
      </x:c>
      <x:c r="D40" s="10" t="str">
        <x:v>Implementar la función para subir una fotografía.</x:v>
      </x:c>
      <x:c r="E40" s="10" t="str">
        <x:v>Alonso Urrutia</x:v>
      </x:c>
      <x:c r="F40" s="10" t="str">
        <x:v>SB2-031</x:v>
      </x:c>
      <x:c r="G40" s="10" t="str">
        <x:v>Imagen válida cargada; formato y tamaño controlados; análisis ejecutado; colores sugeridos mostrados.</x:v>
      </x:c>
      <x:c r="H40" s="11" t="str">
        <x:v>Terminado</x:v>
      </x:c>
      <x:c r="I40" s="12" t="n">
        <x:v>4</x:v>
      </x:c>
      <x:c r="J40" s="12" t="n">
        <x:v>0</x:v>
      </x:c>
      <x:c r="K40" s="13" t="d">
        <x:v>2026-10-19T12:00:00.000Z</x:v>
      </x:c>
      <x:c r="L40" s="13" t="d">
        <x:v>2026-10-19T12:00:00.000Z</x:v>
      </x:c>
      <x:c r="M40" s="11" t="str">
        <x:v>Sí</x:v>
      </x:c>
      <x:c r="N40" s="11" t="str">
        <x:v>Cierre y DoD registrados según Product Backlog. Evidencia de tarea pendiente de vincular.</x:v>
      </x:c>
      <x:c r="O40" s="11" t="str">
        <x:v>Pendiente de vincular evidencia de la tarea</x:v>
      </x:c>
      <x:c r="P40" s="11" t="str">
        <x:v>Completado</x:v>
      </x:c>
      <x:c r="Q40" s="12" t="str">
        <x:v>Sí</x:v>
      </x:c>
      <x:c r="R40" s="13" t="d">
        <x:v>2026-10-19T12:00:00.000Z</x:v>
      </x:c>
      <x:c r="S40" s="12" t="n">
        <x:f>I40-J40</x:f>
        <x:v>4</x:v>
      </x:c>
    </x:row>
    <x:row r="41" ht="49" customHeight="1">
      <x:c r="A41" s="6" t="str">
        <x:v>SB2-033</x:v>
      </x:c>
      <x:c r="B41" s="6" t="str">
        <x:v>Sprint 2</x:v>
      </x:c>
      <x:c r="C41" s="6" t="str">
        <x:v>HU-031</x:v>
      </x:c>
      <x:c r="D41" s="6" t="str">
        <x:v>Verificar criterios de aceptación, permisos y casos negativos de HU-031.</x:v>
      </x:c>
      <x:c r="E41" s="6" t="str">
        <x:v>Franco Miranda</x:v>
      </x:c>
      <x:c r="F41" s="6" t="str">
        <x:v>SB2-032</x:v>
      </x:c>
      <x:c r="G41" s="6" t="str">
        <x:v>Casos ejecutados y evidencia vinculada; defectos clasificados; criterios del PBI verificados: Imagen válida cargada; formato y tamaño controlados; análisis ejecutado; colores sugeridos mostrados.</x:v>
      </x:c>
      <x:c r="H41" s="11" t="str">
        <x:v>Terminado</x:v>
      </x:c>
      <x:c r="I41" s="12" t="n">
        <x:v>1.5</x:v>
      </x:c>
      <x:c r="J41" s="12" t="n">
        <x:v>0</x:v>
      </x:c>
      <x:c r="K41" s="13" t="d">
        <x:v>2026-10-20T12:00:00.000Z</x:v>
      </x:c>
      <x:c r="L41" s="13" t="d">
        <x:v>2026-10-20T12:00:00.000Z</x:v>
      </x:c>
      <x:c r="M41" s="11" t="str">
        <x:v>Sí</x:v>
      </x:c>
      <x:c r="N41" s="11" t="str">
        <x:v>Cierre y DoD registrados según Product Backlog. Evidencia de tarea pendiente de vincular.</x:v>
      </x:c>
      <x:c r="O41" s="11" t="str">
        <x:v>Pendiente de vincular evidencia de la tarea</x:v>
      </x:c>
      <x:c r="P41" s="11" t="str">
        <x:v>Completado</x:v>
      </x:c>
      <x:c r="Q41" s="12" t="str">
        <x:v>Sí</x:v>
      </x:c>
      <x:c r="R41" s="13" t="d">
        <x:v>2026-10-20T12:00:00.000Z</x:v>
      </x:c>
      <x:c r="S41" s="12" t="n">
        <x:f>I41-J41</x:f>
        <x:v>1.5</x:v>
      </x:c>
    </x:row>
    <x:row r="42" ht="38" customHeight="1">
      <x:c r="A42" s="10" t="str">
        <x:v>SB2-034</x:v>
      </x:c>
      <x:c r="B42" s="10" t="str">
        <x:v>Sprint 2</x:v>
      </x:c>
      <x:c r="C42" s="10" t="str">
        <x:v>HU-032</x:v>
      </x:c>
      <x:c r="D42" s="10" t="str">
        <x:v>Diseñar o ajustar interfaz y mensajes para pintura inteligente.</x:v>
      </x:c>
      <x:c r="E42" s="10" t="str">
        <x:v>Vicente Palma</x:v>
      </x:c>
      <x:c r="F42" s="10" t="str">
        <x:v>HU-031, HU-007</x:v>
      </x:c>
      <x:c r="G42" s="10" t="str">
        <x:v>Vista o flujo revisado, campos y mensajes definidos y comportamiento móvil considerado.</x:v>
      </x:c>
      <x:c r="H42" s="11" t="str">
        <x:v>Terminado</x:v>
      </x:c>
      <x:c r="I42" s="12" t="n">
        <x:v>1</x:v>
      </x:c>
      <x:c r="J42" s="12" t="n">
        <x:v>0</x:v>
      </x:c>
      <x:c r="K42" s="13" t="d">
        <x:v>2026-10-20T12:00:00.000Z</x:v>
      </x:c>
      <x:c r="L42" s="13" t="d">
        <x:v>2026-10-20T12:00:00.000Z</x:v>
      </x:c>
      <x:c r="M42" s="11" t="str">
        <x:v>Sí</x:v>
      </x:c>
      <x:c r="N42" s="11" t="str">
        <x:v>Cierre y DoD registrados según Product Backlog. Evidencia de tarea pendiente de vincular.</x:v>
      </x:c>
      <x:c r="O42" s="11" t="str">
        <x:v>Pendiente de vincular evidencia de la tarea</x:v>
      </x:c>
      <x:c r="P42" s="11" t="str">
        <x:v>Completado</x:v>
      </x:c>
      <x:c r="Q42" s="12" t="str">
        <x:v>Sí</x:v>
      </x:c>
      <x:c r="R42" s="13" t="d">
        <x:v>2026-10-20T12:00:00.000Z</x:v>
      </x:c>
      <x:c r="S42" s="12" t="n">
        <x:f>I42-J42</x:f>
        <x:v>1</x:v>
      </x:c>
    </x:row>
    <x:row r="43" ht="38" customHeight="1">
      <x:c r="A43" s="6" t="str">
        <x:v>SB2-035</x:v>
      </x:c>
      <x:c r="B43" s="6" t="str">
        <x:v>Sprint 2</x:v>
      </x:c>
      <x:c r="C43" s="6" t="str">
        <x:v>HU-032</x:v>
      </x:c>
      <x:c r="D43" s="6" t="str">
        <x:v>Implementar la función para visualizar colores y variantes de pintura.</x:v>
      </x:c>
      <x:c r="E43" s="6" t="str">
        <x:v>Vicente Palma</x:v>
      </x:c>
      <x:c r="F43" s="6" t="str">
        <x:v>SB2-034</x:v>
      </x:c>
      <x:c r="G43" s="6" t="str">
        <x:v>Paleta visible; variantes relacionadas con catálogo; resultado diferenciable de una simulación exacta; interfaz responsive.</x:v>
      </x:c>
      <x:c r="H43" s="11" t="str">
        <x:v>Terminado</x:v>
      </x:c>
      <x:c r="I43" s="12" t="n">
        <x:v>2.5</x:v>
      </x:c>
      <x:c r="J43" s="12" t="n">
        <x:v>0</x:v>
      </x:c>
      <x:c r="K43" s="13" t="d">
        <x:v>2026-10-21T12:00:00.000Z</x:v>
      </x:c>
      <x:c r="L43" s="13" t="d">
        <x:v>2026-10-21T12:00:00.000Z</x:v>
      </x:c>
      <x:c r="M43" s="11" t="str">
        <x:v>Sí</x:v>
      </x:c>
      <x:c r="N43" s="11" t="str">
        <x:v>Cierre y DoD registrados según Product Backlog. Evidencia de tarea pendiente de vincular.</x:v>
      </x:c>
      <x:c r="O43" s="11" t="str">
        <x:v>Pendiente de vincular evidencia de la tarea</x:v>
      </x:c>
      <x:c r="P43" s="11" t="str">
        <x:v>Completado</x:v>
      </x:c>
      <x:c r="Q43" s="12" t="str">
        <x:v>Sí</x:v>
      </x:c>
      <x:c r="R43" s="13" t="d">
        <x:v>2026-10-20T12:00:00.000Z</x:v>
      </x:c>
      <x:c r="S43" s="12" t="n">
        <x:f>I43-J43</x:f>
        <x:v>2.5</x:v>
      </x:c>
    </x:row>
    <x:row r="44" ht="62" customHeight="1">
      <x:c r="A44" s="10" t="str">
        <x:v>SB2-036</x:v>
      </x:c>
      <x:c r="B44" s="10" t="str">
        <x:v>Sprint 2</x:v>
      </x:c>
      <x:c r="C44" s="10" t="str">
        <x:v>HU-032</x:v>
      </x:c>
      <x:c r="D44" s="10" t="str">
        <x:v>Verificar criterios de aceptación, permisos y casos negativos de HU-032.</x:v>
      </x:c>
      <x:c r="E44" s="10" t="str">
        <x:v>Franco Miranda</x:v>
      </x:c>
      <x:c r="F44" s="10" t="str">
        <x:v>SB2-035</x:v>
      </x:c>
      <x:c r="G44" s="10" t="str">
        <x:v>Casos ejecutados y evidencia vinculada; defectos clasificados; criterios del PBI verificados: Paleta visible; variantes relacionadas con catálogo; resultado diferenciable de una simulación exacta; interfaz responsive.</x:v>
      </x:c>
      <x:c r="H44" s="11" t="str">
        <x:v>Terminado</x:v>
      </x:c>
      <x:c r="I44" s="12" t="n">
        <x:v>1</x:v>
      </x:c>
      <x:c r="J44" s="12" t="n">
        <x:v>0</x:v>
      </x:c>
      <x:c r="K44" s="13" t="d">
        <x:v>2026-10-21T12:00:00.000Z</x:v>
      </x:c>
      <x:c r="L44" s="13" t="d">
        <x:v>2026-10-21T12:00:00.000Z</x:v>
      </x:c>
      <x:c r="M44" s="11" t="str">
        <x:v>Sí</x:v>
      </x:c>
      <x:c r="N44" s="11" t="str">
        <x:v>Cierre y DoD registrados según Product Backlog. Evidencia de tarea pendiente de vincular.</x:v>
      </x:c>
      <x:c r="O44" s="11" t="str">
        <x:v>Pendiente de vincular evidencia de la tarea</x:v>
      </x:c>
      <x:c r="P44" s="11" t="str">
        <x:v>Completado</x:v>
      </x:c>
      <x:c r="Q44" s="12" t="str">
        <x:v>Sí</x:v>
      </x:c>
      <x:c r="R44" s="13" t="d">
        <x:v>2026-10-21T12:00:00.000Z</x:v>
      </x:c>
      <x:c r="S44" s="12" t="n">
        <x:f>I44-J44</x:f>
        <x:v>1</x:v>
      </x:c>
    </x:row>
    <x:row r="45" ht="38" customHeight="1">
      <x:c r="A45" s="6" t="str">
        <x:v>SB2-037</x:v>
      </x:c>
      <x:c r="B45" s="6" t="str">
        <x:v>Sprint 2</x:v>
      </x:c>
      <x:c r="C45" s="6" t="str">
        <x:v>HU-033</x:v>
      </x:c>
      <x:c r="D45" s="6" t="str">
        <x:v>Diseñar o ajustar interfaz y mensajes para pintura inteligente.</x:v>
      </x:c>
      <x:c r="E45" s="6" t="str">
        <x:v>Vicente Palma</x:v>
      </x:c>
      <x:c r="F45" s="6" t="str">
        <x:v>HU-030, HU-032, HU-013</x:v>
      </x:c>
      <x:c r="G45" s="6" t="str">
        <x:v>Vista o flujo revisado, campos y mensajes definidos y comportamiento móvil considerado.</x:v>
      </x:c>
      <x:c r="H45" s="11" t="str">
        <x:v>Terminado</x:v>
      </x:c>
      <x:c r="I45" s="12" t="n">
        <x:v>1</x:v>
      </x:c>
      <x:c r="J45" s="12" t="n">
        <x:v>0</x:v>
      </x:c>
      <x:c r="K45" s="13" t="d">
        <x:v>2026-10-21T12:00:00.000Z</x:v>
      </x:c>
      <x:c r="L45" s="13" t="d">
        <x:v>2026-10-21T12:00:00.000Z</x:v>
      </x:c>
      <x:c r="M45" s="11" t="str">
        <x:v>Sí</x:v>
      </x:c>
      <x:c r="N45" s="11" t="str">
        <x:v>Cierre y DoD registrados según Product Backlog. Evidencia de tarea pendiente de vincular.</x:v>
      </x:c>
      <x:c r="O45" s="11" t="str">
        <x:v>Pendiente de vincular evidencia de la tarea</x:v>
      </x:c>
      <x:c r="P45" s="11" t="str">
        <x:v>Completado</x:v>
      </x:c>
      <x:c r="Q45" s="12" t="str">
        <x:v>Sí</x:v>
      </x:c>
      <x:c r="R45" s="13" t="d">
        <x:v>2026-10-21T12:00:00.000Z</x:v>
      </x:c>
      <x:c r="S45" s="12" t="n">
        <x:f>I45-J45</x:f>
        <x:v>1</x:v>
      </x:c>
    </x:row>
    <x:row r="46" ht="38" customHeight="1">
      <x:c r="A46" s="10" t="str">
        <x:v>SB2-038</x:v>
      </x:c>
      <x:c r="B46" s="10" t="str">
        <x:v>Sprint 2</x:v>
      </x:c>
      <x:c r="C46" s="10" t="str">
        <x:v>HU-033</x:v>
      </x:c>
      <x:c r="D46" s="10" t="str">
        <x:v>Implementar la función para agregar las pinturas recomendadas al carrito.</x:v>
      </x:c>
      <x:c r="E46" s="10" t="str">
        <x:v>Vicente Palma</x:v>
      </x:c>
      <x:c r="F46" s="10" t="str">
        <x:v>SB2-037</x:v>
      </x:c>
      <x:c r="G46" s="10" t="str">
        <x:v>Producto y variante correctos; cantidad calculada transferida; stock validado; carrito actualizado.</x:v>
      </x:c>
      <x:c r="H46" s="11" t="str">
        <x:v>Terminado</x:v>
      </x:c>
      <x:c r="I46" s="12" t="n">
        <x:v>2.5</x:v>
      </x:c>
      <x:c r="J46" s="12" t="n">
        <x:v>0</x:v>
      </x:c>
      <x:c r="K46" s="13" t="d">
        <x:v>2026-10-22T12:00:00.000Z</x:v>
      </x:c>
      <x:c r="L46" s="13" t="d">
        <x:v>2026-10-22T12:00:00.000Z</x:v>
      </x:c>
      <x:c r="M46" s="11" t="str">
        <x:v>Sí</x:v>
      </x:c>
      <x:c r="N46" s="11" t="str">
        <x:v>Cierre y DoD registrados según Product Backlog. Evidencia de tarea pendiente de vincular.</x:v>
      </x:c>
      <x:c r="O46" s="11" t="str">
        <x:v>Pendiente de vincular evidencia de la tarea</x:v>
      </x:c>
      <x:c r="P46" s="11" t="str">
        <x:v>Completado</x:v>
      </x:c>
      <x:c r="Q46" s="12" t="str">
        <x:v>Sí</x:v>
      </x:c>
      <x:c r="R46" s="13" t="d">
        <x:v>2026-10-21T12:00:00.000Z</x:v>
      </x:c>
      <x:c r="S46" s="12" t="n">
        <x:f>I46-J46</x:f>
        <x:v>2.5</x:v>
      </x:c>
    </x:row>
    <x:row r="47" ht="49" customHeight="1">
      <x:c r="A47" s="6" t="str">
        <x:v>SB2-039</x:v>
      </x:c>
      <x:c r="B47" s="6" t="str">
        <x:v>Sprint 2</x:v>
      </x:c>
      <x:c r="C47" s="6" t="str">
        <x:v>HU-033</x:v>
      </x:c>
      <x:c r="D47" s="6" t="str">
        <x:v>Verificar criterios de aceptación, permisos y casos negativos de HU-033.</x:v>
      </x:c>
      <x:c r="E47" s="6" t="str">
        <x:v>Franco Miranda</x:v>
      </x:c>
      <x:c r="F47" s="6" t="str">
        <x:v>SB2-038</x:v>
      </x:c>
      <x:c r="G47" s="6" t="str">
        <x:v>Casos ejecutados y evidencia vinculada; defectos clasificados; criterios del PBI verificados: Producto y variante correctos; cantidad calculada transferida; stock validado; carrito actualizado.</x:v>
      </x:c>
      <x:c r="H47" s="11" t="str">
        <x:v>Terminado</x:v>
      </x:c>
      <x:c r="I47" s="12" t="n">
        <x:v>1</x:v>
      </x:c>
      <x:c r="J47" s="12" t="n">
        <x:v>0</x:v>
      </x:c>
      <x:c r="K47" s="13" t="d">
        <x:v>2026-10-22T12:00:00.000Z</x:v>
      </x:c>
      <x:c r="L47" s="13" t="d">
        <x:v>2026-10-22T12:00:00.000Z</x:v>
      </x:c>
      <x:c r="M47" s="11" t="str">
        <x:v>Sí</x:v>
      </x:c>
      <x:c r="N47" s="11" t="str">
        <x:v>Cierre y DoD registrados según Product Backlog. Evidencia de tarea pendiente de vincular.</x:v>
      </x:c>
      <x:c r="O47" s="11" t="str">
        <x:v>Pendiente de vincular evidencia de la tarea</x:v>
      </x:c>
      <x:c r="P47" s="11" t="str">
        <x:v>Completado</x:v>
      </x:c>
      <x:c r="Q47" s="12" t="str">
        <x:v>Sí</x:v>
      </x:c>
      <x:c r="R47" s="13" t="d">
        <x:v>2026-10-22T12:00:00.000Z</x:v>
      </x:c>
      <x:c r="S47" s="12" t="n">
        <x:f>I47-J47</x:f>
        <x:v>1</x:v>
      </x:c>
    </x:row>
    <x:row r="48" ht="38" customHeight="1">
      <x:c r="A48" s="10" t="str">
        <x:v>SB2-040</x:v>
      </x:c>
      <x:c r="B48" s="10" t="str">
        <x:v>Sprint 2</x:v>
      </x:c>
      <x:c r="C48" s="10" t="str">
        <x:v>HU-034</x:v>
      </x:c>
      <x:c r="D48" s="10" t="str">
        <x:v>Diseñar o ajustar interfaz y mensajes para maestros.</x:v>
      </x:c>
      <x:c r="E48" s="10" t="str">
        <x:v>Vicente Palma</x:v>
      </x:c>
      <x:c r="F48" s="10" t="str">
        <x:v>HU-002, HU-004</x:v>
      </x:c>
      <x:c r="G48" s="10" t="str">
        <x:v>Vista o flujo revisado, campos y mensajes definidos y comportamiento móvil considerado.</x:v>
      </x:c>
      <x:c r="H48" s="11" t="str">
        <x:v>Terminado</x:v>
      </x:c>
      <x:c r="I48" s="12" t="n">
        <x:v>1.5</x:v>
      </x:c>
      <x:c r="J48" s="12" t="n">
        <x:v>0</x:v>
      </x:c>
      <x:c r="K48" s="13" t="d">
        <x:v>2026-10-05T12:00:00.000Z</x:v>
      </x:c>
      <x:c r="L48" s="13" t="d">
        <x:v>2026-10-05T12:00:00.000Z</x:v>
      </x:c>
      <x:c r="M48" s="11" t="str">
        <x:v>Sí</x:v>
      </x:c>
      <x:c r="N48" s="11" t="str">
        <x:v>Cierre y DoD registrados según Product Backlog. Evidencia de tarea pendiente de vincular.</x:v>
      </x:c>
      <x:c r="O48" s="11" t="str">
        <x:v>Pendiente de vincular evidencia de la tarea</x:v>
      </x:c>
      <x:c r="P48" s="11" t="str">
        <x:v>Completado</x:v>
      </x:c>
      <x:c r="Q48" s="12" t="str">
        <x:v>Sí</x:v>
      </x:c>
      <x:c r="R48" s="13" t="d">
        <x:v>2026-10-05T12:00:00.000Z</x:v>
      </x:c>
      <x:c r="S48" s="12" t="n">
        <x:f>I48-J48</x:f>
        <x:v>1.5</x:v>
      </x:c>
    </x:row>
    <x:row r="49" ht="38" customHeight="1">
      <x:c r="A49" s="6" t="str">
        <x:v>SB2-041</x:v>
      </x:c>
      <x:c r="B49" s="6" t="str">
        <x:v>Sprint 2</x:v>
      </x:c>
      <x:c r="C49" s="6" t="str">
        <x:v>HU-034</x:v>
      </x:c>
      <x:c r="D49" s="6" t="str">
        <x:v>Implementar la función para crear un perfil profesional.</x:v>
      </x:c>
      <x:c r="E49" s="6" t="str">
        <x:v>Alonso Urrutia</x:v>
      </x:c>
      <x:c r="F49" s="6" t="str">
        <x:v>SB2-040</x:v>
      </x:c>
      <x:c r="G49" s="6" t="str">
        <x:v>Registro diferenciado; perfil privado creado; datos obligatorios validados; estado pendiente asignado.</x:v>
      </x:c>
      <x:c r="H49" s="11" t="str">
        <x:v>Terminado</x:v>
      </x:c>
      <x:c r="I49" s="12" t="n">
        <x:v>4</x:v>
      </x:c>
      <x:c r="J49" s="12" t="n">
        <x:v>0</x:v>
      </x:c>
      <x:c r="K49" s="13" t="d">
        <x:v>2026-10-20T12:00:00.000Z</x:v>
      </x:c>
      <x:c r="L49" s="13" t="d">
        <x:v>2026-10-20T12:00:00.000Z</x:v>
      </x:c>
      <x:c r="M49" s="11" t="str">
        <x:v>Sí</x:v>
      </x:c>
      <x:c r="N49" s="11" t="str">
        <x:v>Cierre y DoD registrados según Product Backlog. Evidencia de tarea pendiente de vincular.</x:v>
      </x:c>
      <x:c r="O49" s="11" t="str">
        <x:v>Pendiente de vincular evidencia de la tarea</x:v>
      </x:c>
      <x:c r="P49" s="11" t="str">
        <x:v>Completado</x:v>
      </x:c>
      <x:c r="Q49" s="12" t="str">
        <x:v>Sí</x:v>
      </x:c>
      <x:c r="R49" s="13" t="d">
        <x:v>2026-10-20T12:00:00.000Z</x:v>
      </x:c>
      <x:c r="S49" s="12" t="n">
        <x:f>I49-J49</x:f>
        <x:v>4</x:v>
      </x:c>
    </x:row>
    <x:row r="50" ht="49" customHeight="1">
      <x:c r="A50" s="10" t="str">
        <x:v>SB2-042</x:v>
      </x:c>
      <x:c r="B50" s="10" t="str">
        <x:v>Sprint 2</x:v>
      </x:c>
      <x:c r="C50" s="10" t="str">
        <x:v>HU-034</x:v>
      </x:c>
      <x:c r="D50" s="10" t="str">
        <x:v>Verificar criterios de aceptación, permisos y casos negativos de HU-034.</x:v>
      </x:c>
      <x:c r="E50" s="10" t="str">
        <x:v>Franco Miranda</x:v>
      </x:c>
      <x:c r="F50" s="10" t="str">
        <x:v>SB2-041</x:v>
      </x:c>
      <x:c r="G50" s="10" t="str">
        <x:v>Casos ejecutados y evidencia vinculada; defectos clasificados; criterios del PBI verificados: Registro diferenciado; perfil privado creado; datos obligatorios validados; estado pendiente asignado.</x:v>
      </x:c>
      <x:c r="H50" s="11" t="str">
        <x:v>Terminado</x:v>
      </x:c>
      <x:c r="I50" s="12" t="n">
        <x:v>1.5</x:v>
      </x:c>
      <x:c r="J50" s="12" t="n">
        <x:v>0</x:v>
      </x:c>
      <x:c r="K50" s="13" t="d">
        <x:v>2026-10-21T12:00:00.000Z</x:v>
      </x:c>
      <x:c r="L50" s="13" t="d">
        <x:v>2026-10-21T12:00:00.000Z</x:v>
      </x:c>
      <x:c r="M50" s="11" t="str">
        <x:v>Sí</x:v>
      </x:c>
      <x:c r="N50" s="11" t="str">
        <x:v>Cierre y DoD registrados según Product Backlog. Evidencia de tarea pendiente de vincular.</x:v>
      </x:c>
      <x:c r="O50" s="11" t="str">
        <x:v>Pendiente de vincular evidencia de la tarea</x:v>
      </x:c>
      <x:c r="P50" s="11" t="str">
        <x:v>Completado</x:v>
      </x:c>
      <x:c r="Q50" s="12" t="str">
        <x:v>Sí</x:v>
      </x:c>
      <x:c r="R50" s="13" t="d">
        <x:v>2026-10-21T12:00:00.000Z</x:v>
      </x:c>
      <x:c r="S50" s="12" t="n">
        <x:f>I50-J50</x:f>
        <x:v>1.5</x:v>
      </x:c>
    </x:row>
    <x:row r="51" ht="38" customHeight="1">
      <x:c r="A51" s="6" t="str">
        <x:v>SB2-043</x:v>
      </x:c>
      <x:c r="B51" s="6" t="str">
        <x:v>Sprint 2</x:v>
      </x:c>
      <x:c r="C51" s="6" t="str">
        <x:v>HU-035</x:v>
      </x:c>
      <x:c r="D51" s="6" t="str">
        <x:v>Diseñar o ajustar interfaz y mensajes para maestros.</x:v>
      </x:c>
      <x:c r="E51" s="6" t="str">
        <x:v>Vicente Palma</x:v>
      </x:c>
      <x:c r="F51" s="6" t="str">
        <x:v>HU-034</x:v>
      </x:c>
      <x:c r="G51" s="6" t="str">
        <x:v>Vista o flujo revisado, campos y mensajes definidos y comportamiento móvil considerado.</x:v>
      </x:c>
      <x:c r="H51" s="11" t="str">
        <x:v>Terminado</x:v>
      </x:c>
      <x:c r="I51" s="12" t="n">
        <x:v>1</x:v>
      </x:c>
      <x:c r="J51" s="12" t="n">
        <x:v>0</x:v>
      </x:c>
      <x:c r="K51" s="13" t="d">
        <x:v>2026-10-22T12:00:00.000Z</x:v>
      </x:c>
      <x:c r="L51" s="13" t="d">
        <x:v>2026-10-22T12:00:00.000Z</x:v>
      </x:c>
      <x:c r="M51" s="11" t="str">
        <x:v>Sí</x:v>
      </x:c>
      <x:c r="N51" s="11" t="str">
        <x:v>Cierre y DoD registrados según Product Backlog. Evidencia de tarea pendiente de vincular.</x:v>
      </x:c>
      <x:c r="O51" s="11" t="str">
        <x:v>Pendiente de vincular evidencia de la tarea</x:v>
      </x:c>
      <x:c r="P51" s="11" t="str">
        <x:v>Completado</x:v>
      </x:c>
      <x:c r="Q51" s="12" t="str">
        <x:v>Sí</x:v>
      </x:c>
      <x:c r="R51" s="13" t="d">
        <x:v>2026-10-22T12:00:00.000Z</x:v>
      </x:c>
      <x:c r="S51" s="12" t="n">
        <x:f>I51-J51</x:f>
        <x:v>1</x:v>
      </x:c>
    </x:row>
    <x:row r="52" ht="38" customHeight="1">
      <x:c r="A52" s="10" t="str">
        <x:v>SB2-044</x:v>
      </x:c>
      <x:c r="B52" s="10" t="str">
        <x:v>Sprint 2</x:v>
      </x:c>
      <x:c r="C52" s="10" t="str">
        <x:v>HU-035</x:v>
      </x:c>
      <x:c r="D52" s="10" t="str">
        <x:v>Implementar la función para registrar especialidades, ubicación y experiencia.</x:v>
      </x:c>
      <x:c r="E52" s="10" t="str">
        <x:v>Alonso Urrutia</x:v>
      </x:c>
      <x:c r="F52" s="10" t="str">
        <x:v>SB2-043</x:v>
      </x:c>
      <x:c r="G52" s="10" t="str">
        <x:v>Especialidades seleccionables; región y comuna válidas; experiencia editable; información guardada.</x:v>
      </x:c>
      <x:c r="H52" s="11" t="str">
        <x:v>Terminado</x:v>
      </x:c>
      <x:c r="I52" s="12" t="n">
        <x:v>2.5</x:v>
      </x:c>
      <x:c r="J52" s="12" t="n">
        <x:v>0</x:v>
      </x:c>
      <x:c r="K52" s="13" t="d">
        <x:v>2026-10-23T12:00:00.000Z</x:v>
      </x:c>
      <x:c r="L52" s="13" t="d">
        <x:v>2026-10-23T12:00:00.000Z</x:v>
      </x:c>
      <x:c r="M52" s="11" t="str">
        <x:v>Sí</x:v>
      </x:c>
      <x:c r="N52" s="11" t="str">
        <x:v>Cierre y DoD registrados según Product Backlog. Evidencia de tarea pendiente de vincular.</x:v>
      </x:c>
      <x:c r="O52" s="11" t="str">
        <x:v>Pendiente de vincular evidencia de la tarea</x:v>
      </x:c>
      <x:c r="P52" s="11" t="str">
        <x:v>Completado</x:v>
      </x:c>
      <x:c r="Q52" s="12" t="str">
        <x:v>Sí</x:v>
      </x:c>
      <x:c r="R52" s="13" t="d">
        <x:v>2026-10-22T12:00:00.000Z</x:v>
      </x:c>
      <x:c r="S52" s="12" t="n">
        <x:f>I52-J52</x:f>
        <x:v>2.5</x:v>
      </x:c>
    </x:row>
    <x:row r="53" ht="49" customHeight="1">
      <x:c r="A53" s="6" t="str">
        <x:v>SB2-045</x:v>
      </x:c>
      <x:c r="B53" s="6" t="str">
        <x:v>Sprint 2</x:v>
      </x:c>
      <x:c r="C53" s="6" t="str">
        <x:v>HU-035</x:v>
      </x:c>
      <x:c r="D53" s="6" t="str">
        <x:v>Verificar criterios de aceptación, permisos y casos negativos de HU-035.</x:v>
      </x:c>
      <x:c r="E53" s="6" t="str">
        <x:v>Franco Miranda</x:v>
      </x:c>
      <x:c r="F53" s="6" t="str">
        <x:v>SB2-044</x:v>
      </x:c>
      <x:c r="G53" s="6" t="str">
        <x:v>Casos ejecutados y evidencia vinculada; defectos clasificados; criterios del PBI verificados: Especialidades seleccionables; región y comuna válidas; experiencia editable; información guardada.</x:v>
      </x:c>
      <x:c r="H53" s="11" t="str">
        <x:v>Terminado</x:v>
      </x:c>
      <x:c r="I53" s="12" t="n">
        <x:v>1</x:v>
      </x:c>
      <x:c r="J53" s="12" t="n">
        <x:v>0</x:v>
      </x:c>
      <x:c r="K53" s="13" t="d">
        <x:v>2026-10-23T12:00:00.000Z</x:v>
      </x:c>
      <x:c r="L53" s="13" t="d">
        <x:v>2026-10-23T12:00:00.000Z</x:v>
      </x:c>
      <x:c r="M53" s="11" t="str">
        <x:v>Sí</x:v>
      </x:c>
      <x:c r="N53" s="11" t="str">
        <x:v>Cierre y DoD registrados según Product Backlog. Evidencia de tarea pendiente de vincular.</x:v>
      </x:c>
      <x:c r="O53" s="11" t="str">
        <x:v>Pendiente de vincular evidencia de la tarea</x:v>
      </x:c>
      <x:c r="P53" s="11" t="str">
        <x:v>Completado</x:v>
      </x:c>
      <x:c r="Q53" s="12" t="str">
        <x:v>Sí</x:v>
      </x:c>
      <x:c r="R53" s="13" t="d">
        <x:v>2026-10-23T12:00:00.000Z</x:v>
      </x:c>
      <x:c r="S53" s="12" t="n">
        <x:f>I53-J53</x:f>
        <x:v>1</x:v>
      </x:c>
    </x:row>
    <x:row r="54" ht="38" customHeight="1">
      <x:c r="A54" s="10" t="str">
        <x:v>SB2-046</x:v>
      </x:c>
      <x:c r="B54" s="10" t="str">
        <x:v>Sprint 2</x:v>
      </x:c>
      <x:c r="C54" s="10" t="str">
        <x:v>HU-036</x:v>
      </x:c>
      <x:c r="D54" s="10" t="str">
        <x:v>Diseñar o ajustar interfaz y mensajes para maestros.</x:v>
      </x:c>
      <x:c r="E54" s="10" t="str">
        <x:v>Vicente Palma</x:v>
      </x:c>
      <x:c r="F54" s="10" t="str">
        <x:v>HU-034</x:v>
      </x:c>
      <x:c r="G54" s="10" t="str">
        <x:v>Vista o flujo revisado, campos y mensajes definidos y comportamiento móvil considerado.</x:v>
      </x:c>
      <x:c r="H54" s="11" t="str">
        <x:v>Terminado</x:v>
      </x:c>
      <x:c r="I54" s="12" t="n">
        <x:v>1</x:v>
      </x:c>
      <x:c r="J54" s="12" t="n">
        <x:v>0</x:v>
      </x:c>
      <x:c r="K54" s="13" t="d">
        <x:v>2026-10-22T12:00:00.000Z</x:v>
      </x:c>
      <x:c r="L54" s="13" t="d">
        <x:v>2026-10-22T12:00:00.000Z</x:v>
      </x:c>
      <x:c r="M54" s="11" t="str">
        <x:v>Sí</x:v>
      </x:c>
      <x:c r="N54" s="11" t="str">
        <x:v>Cierre y DoD registrados según Product Backlog. Evidencia de tarea pendiente de vincular.</x:v>
      </x:c>
      <x:c r="O54" s="11" t="str">
        <x:v>Pendiente de vincular evidencia de la tarea</x:v>
      </x:c>
      <x:c r="P54" s="11" t="str">
        <x:v>Completado</x:v>
      </x:c>
      <x:c r="Q54" s="12" t="str">
        <x:v>Sí</x:v>
      </x:c>
      <x:c r="R54" s="13" t="d">
        <x:v>2026-10-22T12:00:00.000Z</x:v>
      </x:c>
      <x:c r="S54" s="12" t="n">
        <x:f>I54-J54</x:f>
        <x:v>1</x:v>
      </x:c>
    </x:row>
    <x:row r="55" ht="38" customHeight="1">
      <x:c r="A55" s="6" t="str">
        <x:v>SB2-047</x:v>
      </x:c>
      <x:c r="B55" s="6" t="str">
        <x:v>Sprint 2</x:v>
      </x:c>
      <x:c r="C55" s="6" t="str">
        <x:v>HU-036</x:v>
      </x:c>
      <x:c r="D55" s="6" t="str">
        <x:v>Implementar la función para publicar trabajos anteriores.</x:v>
      </x:c>
      <x:c r="E55" s="6" t="str">
        <x:v>Vicente Palma</x:v>
      </x:c>
      <x:c r="F55" s="6" t="str">
        <x:v>SB2-046</x:v>
      </x:c>
      <x:c r="G55" s="6" t="str">
        <x:v>Portafolio administrable; imágenes y descripción validadas; trabajos asociados al perfil; privacidad controlada.</x:v>
      </x:c>
      <x:c r="H55" s="11" t="str">
        <x:v>Terminado</x:v>
      </x:c>
      <x:c r="I55" s="12" t="n">
        <x:v>2.5</x:v>
      </x:c>
      <x:c r="J55" s="12" t="n">
        <x:v>0</x:v>
      </x:c>
      <x:c r="K55" s="13" t="d">
        <x:v>2026-10-23T12:00:00.000Z</x:v>
      </x:c>
      <x:c r="L55" s="13" t="d">
        <x:v>2026-10-23T12:00:00.000Z</x:v>
      </x:c>
      <x:c r="M55" s="11" t="str">
        <x:v>Sí</x:v>
      </x:c>
      <x:c r="N55" s="11" t="str">
        <x:v>Cierre y DoD registrados según Product Backlog. Evidencia de tarea pendiente de vincular.</x:v>
      </x:c>
      <x:c r="O55" s="11" t="str">
        <x:v>Pendiente de vincular evidencia de la tarea</x:v>
      </x:c>
      <x:c r="P55" s="11" t="str">
        <x:v>Completado</x:v>
      </x:c>
      <x:c r="Q55" s="12" t="str">
        <x:v>Sí</x:v>
      </x:c>
      <x:c r="R55" s="13" t="d">
        <x:v>2026-10-22T12:00:00.000Z</x:v>
      </x:c>
      <x:c r="S55" s="12" t="n">
        <x:f>I55-J55</x:f>
        <x:v>2.5</x:v>
      </x:c>
    </x:row>
    <x:row r="56" ht="49" customHeight="1">
      <x:c r="A56" s="10" t="str">
        <x:v>SB2-048</x:v>
      </x:c>
      <x:c r="B56" s="10" t="str">
        <x:v>Sprint 2</x:v>
      </x:c>
      <x:c r="C56" s="10" t="str">
        <x:v>HU-036</x:v>
      </x:c>
      <x:c r="D56" s="10" t="str">
        <x:v>Verificar criterios de aceptación, permisos y casos negativos de HU-036.</x:v>
      </x:c>
      <x:c r="E56" s="10" t="str">
        <x:v>Franco Miranda</x:v>
      </x:c>
      <x:c r="F56" s="10" t="str">
        <x:v>SB2-047</x:v>
      </x:c>
      <x:c r="G56" s="10" t="str">
        <x:v>Casos ejecutados y evidencia vinculada; defectos clasificados; criterios del PBI verificados: Portafolio administrable; imágenes y descripción validadas; trabajos asociados al perfil; privacidad controlada.</x:v>
      </x:c>
      <x:c r="H56" s="11" t="str">
        <x:v>Terminado</x:v>
      </x:c>
      <x:c r="I56" s="12" t="n">
        <x:v>1</x:v>
      </x:c>
      <x:c r="J56" s="12" t="n">
        <x:v>0</x:v>
      </x:c>
      <x:c r="K56" s="13" t="d">
        <x:v>2026-10-23T12:00:00.000Z</x:v>
      </x:c>
      <x:c r="L56" s="13" t="d">
        <x:v>2026-10-23T12:00:00.000Z</x:v>
      </x:c>
      <x:c r="M56" s="11" t="str">
        <x:v>Sí</x:v>
      </x:c>
      <x:c r="N56" s="11" t="str">
        <x:v>Cierre y DoD registrados según Product Backlog. Evidencia de tarea pendiente de vincular.</x:v>
      </x:c>
      <x:c r="O56" s="11" t="str">
        <x:v>Pendiente de vincular evidencia de la tarea</x:v>
      </x:c>
      <x:c r="P56" s="11" t="str">
        <x:v>Completado</x:v>
      </x:c>
      <x:c r="Q56" s="12" t="str">
        <x:v>Sí</x:v>
      </x:c>
      <x:c r="R56" s="13" t="d">
        <x:v>2026-10-23T12:00:00.000Z</x:v>
      </x:c>
      <x:c r="S56" s="12" t="n">
        <x:f>I56-J56</x:f>
        <x:v>1</x:v>
      </x:c>
    </x:row>
    <x:row r="57" ht="38" customHeight="1">
      <x:c r="A57" s="6" t="str">
        <x:v>SB2-049</x:v>
      </x:c>
      <x:c r="B57" s="6" t="str">
        <x:v>Sprint 2</x:v>
      </x:c>
      <x:c r="C57" s="6" t="str">
        <x:v>HU-037</x:v>
      </x:c>
      <x:c r="D57" s="6" t="str">
        <x:v>Implementar la función para aprobar o rechazar perfiles.</x:v>
      </x:c>
      <x:c r="E57" s="6" t="str">
        <x:v>Alonso Urrutia</x:v>
      </x:c>
      <x:c r="F57" s="6" t="str">
        <x:v>HU-034, HU-035</x:v>
      </x:c>
      <x:c r="G57" s="6" t="str">
        <x:v>Panel de revisión; aprobación y rechazo registrados; solo aprobados visibles; directorio público disponible.</x:v>
      </x:c>
      <x:c r="H57" s="11" t="str">
        <x:v>Terminado</x:v>
      </x:c>
      <x:c r="I57" s="12" t="n">
        <x:v>4</x:v>
      </x:c>
      <x:c r="J57" s="12" t="n">
        <x:v>0</x:v>
      </x:c>
      <x:c r="K57" s="13" t="d">
        <x:v>2026-10-26T12:00:00.000Z</x:v>
      </x:c>
      <x:c r="L57" s="13" t="d">
        <x:v>2026-10-26T12:00:00.000Z</x:v>
      </x:c>
      <x:c r="M57" s="11" t="str">
        <x:v>Sí</x:v>
      </x:c>
      <x:c r="N57" s="11" t="str">
        <x:v>Cierre y DoD registrados según Product Backlog. Evidencia de tarea pendiente de vincular.</x:v>
      </x:c>
      <x:c r="O57" s="11" t="str">
        <x:v>Pendiente de vincular evidencia de la tarea</x:v>
      </x:c>
      <x:c r="P57" s="11" t="str">
        <x:v>Completado</x:v>
      </x:c>
      <x:c r="Q57" s="12" t="str">
        <x:v>Sí</x:v>
      </x:c>
      <x:c r="R57" s="13" t="d">
        <x:v>2026-10-23T12:00:00.000Z</x:v>
      </x:c>
      <x:c r="S57" s="12" t="n">
        <x:f>I57-J57</x:f>
        <x:v>4</x:v>
      </x:c>
    </x:row>
    <x:row r="58" ht="49" customHeight="1">
      <x:c r="A58" s="10" t="str">
        <x:v>SB2-050</x:v>
      </x:c>
      <x:c r="B58" s="10" t="str">
        <x:v>Sprint 2</x:v>
      </x:c>
      <x:c r="C58" s="10" t="str">
        <x:v>HU-037</x:v>
      </x:c>
      <x:c r="D58" s="10" t="str">
        <x:v>Verificar criterios de aceptación, permisos y casos negativos de HU-037.</x:v>
      </x:c>
      <x:c r="E58" s="10" t="str">
        <x:v>Franco Miranda</x:v>
      </x:c>
      <x:c r="F58" s="10" t="str">
        <x:v>SB2-049</x:v>
      </x:c>
      <x:c r="G58" s="10" t="str">
        <x:v>Casos ejecutados y evidencia vinculada; defectos clasificados; criterios del PBI verificados: Panel de revisión; aprobación y rechazo registrados; solo aprobados visibles; directorio público disponible.</x:v>
      </x:c>
      <x:c r="H58" s="11" t="str">
        <x:v>Terminado</x:v>
      </x:c>
      <x:c r="I58" s="12" t="n">
        <x:v>1.5</x:v>
      </x:c>
      <x:c r="J58" s="12" t="n">
        <x:v>0</x:v>
      </x:c>
      <x:c r="K58" s="13" t="d">
        <x:v>2026-10-26T12:00:00.000Z</x:v>
      </x:c>
      <x:c r="L58" s="13" t="d">
        <x:v>2026-10-26T12:00:00.000Z</x:v>
      </x:c>
      <x:c r="M58" s="11" t="str">
        <x:v>Sí</x:v>
      </x:c>
      <x:c r="N58" s="11" t="str">
        <x:v>Cierre y DoD registrados según Product Backlog. Evidencia de tarea pendiente de vincular.</x:v>
      </x:c>
      <x:c r="O58" s="11" t="str">
        <x:v>Pendiente de vincular evidencia de la tarea</x:v>
      </x:c>
      <x:c r="P58" s="11" t="str">
        <x:v>Completado</x:v>
      </x:c>
      <x:c r="Q58" s="12" t="str">
        <x:v>Sí</x:v>
      </x:c>
      <x:c r="R58" s="13" t="d">
        <x:v>2026-10-26T12:00:00.000Z</x:v>
      </x:c>
      <x:c r="S58" s="12" t="n">
        <x:f>I58-J58</x:f>
        <x:v>1.5</x:v>
      </x:c>
    </x:row>
    <x:row r="59" ht="49" customHeight="1">
      <x:c r="A59" s="6" t="str">
        <x:v>SB2-051</x:v>
      </x:c>
      <x:c r="B59" s="6" t="str">
        <x:v>Sprint 2</x:v>
      </x:c>
      <x:c r="C59" s="6" t="str">
        <x:v>HU-038</x:v>
      </x:c>
      <x:c r="D59" s="6" t="str">
        <x:v>Implementar la función para consultar y actualizar su información mediante servicios seguros.</x:v>
      </x:c>
      <x:c r="E59" s="6" t="str">
        <x:v>Alonso Urrutia</x:v>
      </x:c>
      <x:c r="F59" s="6" t="str">
        <x:v>HU-034</x:v>
      </x:c>
      <x:c r="G59" s="6" t="str">
        <x:v>API privada autenticada; el maestro consulta y actualiza solo su perfil; sesión y CSRF activos; cambios sensibles devuelven el perfil a revisión.</x:v>
      </x:c>
      <x:c r="H59" s="11" t="str">
        <x:v>Por verificar</x:v>
      </x:c>
      <x:c r="I59" s="12" t="n">
        <x:v>4</x:v>
      </x:c>
      <x:c r="J59" s="12" t="n">
        <x:v>3.5</x:v>
      </x:c>
      <x:c r="K59" s="13" t="d">
        <x:v>2026-10-28T12:00:00.000Z</x:v>
      </x:c>
      <x:c r="L59" s="13"/>
      <x:c r="M59" s="11" t="str">
        <x:v>Por verificar</x:v>
      </x:c>
      <x:c r="N59" s="11" t="str">
        <x:v>Inicio parcial estimado al corte. Finalización proyectada; cierre no confirmado.</x:v>
      </x:c>
      <x:c r="O59" s="11" t="str">
        <x:v>Pendiente de vincular evidencia de la tarea</x:v>
      </x:c>
      <x:c r="P59" s="11" t="str">
        <x:v>En revisión</x:v>
      </x:c>
      <x:c r="Q59" s="12" t="str">
        <x:v>Parcial</x:v>
      </x:c>
      <x:c r="R59" s="13" t="d">
        <x:v>2026-10-23T12:00:00.000Z</x:v>
      </x:c>
      <x:c r="S59" s="12" t="n">
        <x:f>I59-J59</x:f>
        <x:v>0.5</x:v>
      </x:c>
    </x:row>
    <x:row r="60" ht="62" customHeight="1">
      <x:c r="A60" s="10" t="str">
        <x:v>SB2-052</x:v>
      </x:c>
      <x:c r="B60" s="10" t="str">
        <x:v>Sprint 2</x:v>
      </x:c>
      <x:c r="C60" s="10" t="str">
        <x:v>HU-038</x:v>
      </x:c>
      <x:c r="D60" s="10" t="str">
        <x:v>Verificar criterios de aceptación, permisos y casos negativos de HU-038.</x:v>
      </x:c>
      <x:c r="E60" s="10" t="str">
        <x:v>Franco Miranda</x:v>
      </x:c>
      <x:c r="F60" s="10" t="str">
        <x:v>SB2-051</x:v>
      </x:c>
      <x:c r="G60" s="10" t="str">
        <x:v>Casos ejecutados y evidencia vinculada; defectos clasificados; criterios del PBI verificados: API privada autenticada; el maestro consulta y actualiza solo su perfil; sesión y CSRF activos; cambios sensibles devuelven el perfil a revisión.</x:v>
      </x:c>
      <x:c r="H60" s="11" t="str">
        <x:v>Por verificar</x:v>
      </x:c>
      <x:c r="I60" s="12" t="n">
        <x:v>1.5</x:v>
      </x:c>
      <x:c r="J60" s="12" t="n">
        <x:v>1</x:v>
      </x:c>
      <x:c r="K60" s="13" t="d">
        <x:v>2026-10-29T12:00:00.000Z</x:v>
      </x:c>
      <x:c r="L60" s="13"/>
      <x:c r="M60" s="11" t="str">
        <x:v>Por verificar</x:v>
      </x:c>
      <x:c r="N60" s="11" t="str">
        <x:v>Inicio parcial estimado al corte. Finalización proyectada; cierre no confirmado.</x:v>
      </x:c>
      <x:c r="O60" s="11" t="str">
        <x:v>Pendiente de vincular evidencia de la tarea</x:v>
      </x:c>
      <x:c r="P60" s="11" t="str">
        <x:v>En revisión</x:v>
      </x:c>
      <x:c r="Q60" s="12" t="str">
        <x:v>Parcial</x:v>
      </x:c>
      <x:c r="R60" s="13" t="d">
        <x:v>2026-10-23T12:00:00.000Z</x:v>
      </x:c>
      <x:c r="S60" s="12" t="n">
        <x:f>I60-J60</x:f>
        <x:v>0.5</x:v>
      </x:c>
    </x:row>
    <x:row r="61" ht="49" customHeight="1">
      <x:c r="A61" s="6" t="str">
        <x:v>SB2-053</x:v>
      </x:c>
      <x:c r="B61" s="6" t="str">
        <x:v>Sprint 2</x:v>
      </x:c>
      <x:c r="C61" s="6" t="str">
        <x:v>HU-039</x:v>
      </x:c>
      <x:c r="D61" s="6" t="str">
        <x:v>Implementar la función para gestionar perfiles y como cliente consultar maestros aprobados mediante servicios diferenciados.</x:v>
      </x:c>
      <x:c r="E61" s="6" t="str">
        <x:v>Alonso Urrutia</x:v>
      </x:c>
      <x:c r="F61" s="6" t="str">
        <x:v>HU-037</x:v>
      </x:c>
      <x:c r="G61" s="6" t="str">
        <x:v>Administración puede aprobar, rechazar o suspender; la API pública muestra solo perfiles aprobados y datos profesionales autorizados.</x:v>
      </x:c>
      <x:c r="H61" s="11" t="str">
        <x:v>Por verificar</x:v>
      </x:c>
      <x:c r="I61" s="12" t="n">
        <x:v>4</x:v>
      </x:c>
      <x:c r="J61" s="12" t="n">
        <x:v>3.5</x:v>
      </x:c>
      <x:c r="K61" s="13" t="d">
        <x:v>2026-10-29T12:00:00.000Z</x:v>
      </x:c>
      <x:c r="L61" s="13"/>
      <x:c r="M61" s="11" t="str">
        <x:v>Por verificar</x:v>
      </x:c>
      <x:c r="N61" s="11" t="str">
        <x:v>Inicio parcial estimado al corte. Finalización proyectada; cierre no confirmado.</x:v>
      </x:c>
      <x:c r="O61" s="11" t="str">
        <x:v>Pendiente de vincular evidencia de la tarea</x:v>
      </x:c>
      <x:c r="P61" s="11" t="str">
        <x:v>En revisión</x:v>
      </x:c>
      <x:c r="Q61" s="12" t="str">
        <x:v>Parcial</x:v>
      </x:c>
      <x:c r="R61" s="13" t="d">
        <x:v>2026-10-26T12:00:00.000Z</x:v>
      </x:c>
      <x:c r="S61" s="12" t="n">
        <x:f>I61-J61</x:f>
        <x:v>0.5</x:v>
      </x:c>
    </x:row>
    <x:row r="62" ht="62" customHeight="1">
      <x:c r="A62" s="10" t="str">
        <x:v>SB2-054</x:v>
      </x:c>
      <x:c r="B62" s="10" t="str">
        <x:v>Sprint 2</x:v>
      </x:c>
      <x:c r="C62" s="10" t="str">
        <x:v>HU-039</x:v>
      </x:c>
      <x:c r="D62" s="10" t="str">
        <x:v>Verificar criterios de aceptación, permisos y casos negativos de HU-039.</x:v>
      </x:c>
      <x:c r="E62" s="10" t="str">
        <x:v>Franco Miranda</x:v>
      </x:c>
      <x:c r="F62" s="10" t="str">
        <x:v>SB2-053</x:v>
      </x:c>
      <x:c r="G62" s="10" t="str">
        <x:v>Casos ejecutados y evidencia vinculada; defectos clasificados; criterios del PBI verificados: Administración puede aprobar, rechazar o suspender; la API pública muestra solo perfiles aprobados y datos profesionales autorizados.</x:v>
      </x:c>
      <x:c r="H62" s="11" t="str">
        <x:v>Por verificar</x:v>
      </x:c>
      <x:c r="I62" s="12" t="n">
        <x:v>1.5</x:v>
      </x:c>
      <x:c r="J62" s="12" t="n">
        <x:v>1</x:v>
      </x:c>
      <x:c r="K62" s="13" t="d">
        <x:v>2026-10-30T12:00:00.000Z</x:v>
      </x:c>
      <x:c r="L62" s="13"/>
      <x:c r="M62" s="11" t="str">
        <x:v>Por verificar</x:v>
      </x:c>
      <x:c r="N62" s="11" t="str">
        <x:v>Inicio parcial estimado al corte. Finalización proyectada; cierre no confirmado.</x:v>
      </x:c>
      <x:c r="O62" s="11" t="str">
        <x:v>Pendiente de vincular evidencia de la tarea</x:v>
      </x:c>
      <x:c r="P62" s="11" t="str">
        <x:v>En revisión</x:v>
      </x:c>
      <x:c r="Q62" s="12" t="str">
        <x:v>Parcial</x:v>
      </x:c>
      <x:c r="R62" s="13" t="d">
        <x:v>2026-10-23T12:00:00.000Z</x:v>
      </x:c>
      <x:c r="S62" s="12" t="n">
        <x:f>I62-J62</x:f>
        <x:v>0.5</x:v>
      </x:c>
    </x:row>
    <x:row r="63" ht="49" customHeight="1">
      <x:c r="A63" s="6" t="str">
        <x:v>SB2-055</x:v>
      </x:c>
      <x:c r="B63" s="6" t="str">
        <x:v>Sprint 2</x:v>
      </x:c>
      <x:c r="C63" s="6" t="str">
        <x:v>HU-040</x:v>
      </x:c>
      <x:c r="D63" s="6" t="str">
        <x:v>Implementar la función para que la información privada de los maestros esté protegida.</x:v>
      </x:c>
      <x:c r="E63" s="6" t="str">
        <x:v>Alonso Urrutia</x:v>
      </x:c>
      <x:c r="F63" s="6" t="str">
        <x:v>HU-038, HU-039</x:v>
      </x:c>
      <x:c r="G63" s="6" t="str">
        <x:v>No se exponen RUT, correo, teléfono ni observaciones; se impide consultar o modificar objetos de otro usuario; permisos verificados en servidor.</x:v>
      </x:c>
      <x:c r="H63" s="11" t="str">
        <x:v>Por verificar</x:v>
      </x:c>
      <x:c r="I63" s="12" t="n">
        <x:v>2.5</x:v>
      </x:c>
      <x:c r="J63" s="12" t="n">
        <x:v>2</x:v>
      </x:c>
      <x:c r="K63" s="13" t="d">
        <x:v>2026-10-30T12:00:00.000Z</x:v>
      </x:c>
      <x:c r="L63" s="13"/>
      <x:c r="M63" s="11" t="str">
        <x:v>Por verificar</x:v>
      </x:c>
      <x:c r="N63" s="11" t="str">
        <x:v>Inicio parcial estimado al corte. Finalización proyectada; cierre no confirmado.</x:v>
      </x:c>
      <x:c r="O63" s="11" t="str">
        <x:v>Pendiente de vincular evidencia de la tarea</x:v>
      </x:c>
      <x:c r="P63" s="11" t="str">
        <x:v>En revisión</x:v>
      </x:c>
      <x:c r="Q63" s="12" t="str">
        <x:v>Parcial</x:v>
      </x:c>
      <x:c r="R63" s="13" t="d">
        <x:v>2026-10-26T12:00:00.000Z</x:v>
      </x:c>
      <x:c r="S63" s="12" t="n">
        <x:f>I63-J63</x:f>
        <x:v>0.5</x:v>
      </x:c>
    </x:row>
    <x:row r="64" ht="62" customHeight="1">
      <x:c r="A64" s="10" t="str">
        <x:v>SB2-056</x:v>
      </x:c>
      <x:c r="B64" s="10" t="str">
        <x:v>Sprint 2</x:v>
      </x:c>
      <x:c r="C64" s="10" t="str">
        <x:v>HU-040</x:v>
      </x:c>
      <x:c r="D64" s="10" t="str">
        <x:v>Verificar criterios de aceptación, permisos y casos negativos de HU-040.</x:v>
      </x:c>
      <x:c r="E64" s="10" t="str">
        <x:v>Franco Miranda</x:v>
      </x:c>
      <x:c r="F64" s="10" t="str">
        <x:v>SB2-055</x:v>
      </x:c>
      <x:c r="G64" s="10" t="str">
        <x:v>Casos ejecutados y evidencia vinculada; defectos clasificados; criterios del PBI verificados: No se exponen RUT, correo, teléfono ni observaciones; se impide consultar o modificar objetos de otro usuario; permisos verificados en servidor.</x:v>
      </x:c>
      <x:c r="H64" s="11" t="str">
        <x:v>Por verificar</x:v>
      </x:c>
      <x:c r="I64" s="12" t="n">
        <x:v>1</x:v>
      </x:c>
      <x:c r="J64" s="12" t="n">
        <x:v>0.5</x:v>
      </x:c>
      <x:c r="K64" s="13" t="d">
        <x:v>2026-10-30T12:00:00.000Z</x:v>
      </x:c>
      <x:c r="L64" s="13"/>
      <x:c r="M64" s="11" t="str">
        <x:v>Por verificar</x:v>
      </x:c>
      <x:c r="N64" s="11" t="str">
        <x:v>Inicio parcial estimado al corte. Finalización proyectada; cierre no confirmado.</x:v>
      </x:c>
      <x:c r="O64" s="11" t="str">
        <x:v>Pendiente de vincular evidencia de la tarea</x:v>
      </x:c>
      <x:c r="P64" s="11" t="str">
        <x:v>En revisión</x:v>
      </x:c>
      <x:c r="Q64" s="12" t="str">
        <x:v>Parcial</x:v>
      </x:c>
      <x:c r="R64" s="13" t="d">
        <x:v>2026-10-23T12:00:00.000Z</x:v>
      </x:c>
      <x:c r="S64" s="12" t="n">
        <x:f>I64-J64</x:f>
        <x:v>0.5</x:v>
      </x:c>
    </x:row>
    <x:row r="65" ht="49" customHeight="1">
      <x:c r="A65" s="6" t="str">
        <x:v>SB2-057</x:v>
      </x:c>
      <x:c r="B65" s="6" t="str">
        <x:v>Sprint 2</x:v>
      </x:c>
      <x:c r="C65" s="6" t="str">
        <x:v>TA-007</x:v>
      </x:c>
      <x:c r="D65" s="6" t="str">
        <x:v>Integrar y verificar perfiles de maestros, vistas, APIs públicas y privadas, permisos y regresión dentro del Sprint 2.</x:v>
      </x:c>
      <x:c r="E65" s="6" t="str">
        <x:v>Alonso Urrutia / Franco Miranda</x:v>
      </x:c>
      <x:c r="F65" s="6" t="str">
        <x:v>HU-001 a HU-040</x:v>
      </x:c>
      <x:c r="G65" s="6" t="str">
        <x:v>Vistas y APIs coexisten; flujos principales integrados; pruebas de propiedad, permisos, visibilidad y validaciones disponibles; sin defecto crítico conocido.</x:v>
      </x:c>
      <x:c r="H65" s="11" t="str">
        <x:v>Por verificar</x:v>
      </x:c>
      <x:c r="I65" s="12" t="n">
        <x:v>4</x:v>
      </x:c>
      <x:c r="J65" s="12" t="n">
        <x:v>3</x:v>
      </x:c>
      <x:c r="K65" s="13" t="d">
        <x:v>2026-10-30T12:00:00.000Z</x:v>
      </x:c>
      <x:c r="L65" s="13"/>
      <x:c r="M65" s="11" t="str">
        <x:v>Por verificar</x:v>
      </x:c>
      <x:c r="N65" s="11" t="str">
        <x:v>Inicio parcial estimado al corte. Finalización proyectada; cierre no confirmado.</x:v>
      </x:c>
      <x:c r="O65" s="11" t="str">
        <x:v>Pendiente de vincular evidencia de la tarea</x:v>
      </x:c>
      <x:c r="P65" s="11" t="str">
        <x:v>En revisión</x:v>
      </x:c>
      <x:c r="Q65" s="12" t="str">
        <x:v>Parcial</x:v>
      </x:c>
      <x:c r="R65" s="13" t="d">
        <x:v>2026-10-26T12:00:00.000Z</x:v>
      </x:c>
      <x:c r="S65" s="12" t="n">
        <x:f>I65-J65</x:f>
        <x:v>1</x:v>
      </x:c>
    </x:row>
    <x:row r="66" ht="38" customHeight="1">
      <x:c r="A66" s="10" t="str">
        <x:v>SB2-058</x:v>
      </x:c>
      <x:c r="B66" s="10" t="str">
        <x:v>Sprint 2</x:v>
      </x:c>
      <x:c r="C66" s="10" t="str">
        <x:v>HU-041</x:v>
      </x:c>
      <x:c r="D66" s="10" t="str">
        <x:v>Diseñar o ajustar interfaz y mensajes para promoción y contacto de maestros.</x:v>
      </x:c>
      <x:c r="E66" s="10" t="str">
        <x:v>Vicente Palma</x:v>
      </x:c>
      <x:c r="F66" s="10" t="str">
        <x:v>HU-037</x:v>
      </x:c>
      <x:c r="G66" s="10" t="str">
        <x:v>Vista o flujo revisado, campos y mensajes definidos y comportamiento móvil considerado.</x:v>
      </x:c>
      <x:c r="H66" s="11" t="str">
        <x:v>Pendiente</x:v>
      </x:c>
      <x:c r="I66" s="12" t="n">
        <x:v>1.5</x:v>
      </x:c>
      <x:c r="J66" s="12" t="n">
        <x:v>1.5</x:v>
      </x:c>
      <x:c r="K66" s="13" t="d">
        <x:v>2026-10-27T12:00:00.000Z</x:v>
      </x:c>
      <x:c r="L66" s="13"/>
      <x:c r="M66" s="11" t="str">
        <x:v>Por verificar</x:v>
      </x:c>
      <x:c r="N66" s="11" t="str">
        <x:v>Trabajo futuro planificado. Inicio sujeto a validación y dependencias.</x:v>
      </x:c>
      <x:c r="O66" s="11" t="str">
        <x:v>Pendiente de vincular evidencia de la tarea</x:v>
      </x:c>
      <x:c r="P66" s="11" t="str">
        <x:v>Propuesto para validación</x:v>
      </x:c>
      <x:c r="Q66" s="12" t="str">
        <x:v>No</x:v>
      </x:c>
      <x:c r="R66" s="13" t="d">
        <x:v>2026-10-27T12:00:00.000Z</x:v>
      </x:c>
      <x:c r="S66" s="12" t="n">
        <x:f>I66-J66</x:f>
        <x:v>0</x:v>
      </x:c>
    </x:row>
    <x:row r="67" ht="38" customHeight="1">
      <x:c r="A67" s="6" t="str">
        <x:v>SB2-059</x:v>
      </x:c>
      <x:c r="B67" s="6" t="str">
        <x:v>Sprint 2</x:v>
      </x:c>
      <x:c r="C67" s="6" t="str">
        <x:v>HU-041</x:v>
      </x:c>
      <x:c r="D67" s="6" t="str">
        <x:v>Implementar la función para consultar los medios de contacto de un maestro aprobado.</x:v>
      </x:c>
      <x:c r="E67" s="6" t="str">
        <x:v>Alonso Urrutia</x:v>
      </x:c>
      <x:c r="F67" s="6" t="str">
        <x:v>SB2-058</x:v>
      </x:c>
      <x:c r="G67" s="6" t="str">
        <x:v>Perfil aprobado visible; contacto público autorizado; aviso de negociación externa; perfiles rechazados ocultos.</x:v>
      </x:c>
      <x:c r="H67" s="11" t="str">
        <x:v>Pendiente</x:v>
      </x:c>
      <x:c r="I67" s="12" t="n">
        <x:v>4</x:v>
      </x:c>
      <x:c r="J67" s="12" t="n">
        <x:v>4</x:v>
      </x:c>
      <x:c r="K67" s="13" t="d">
        <x:v>2026-11-02T12:00:00.000Z</x:v>
      </x:c>
      <x:c r="L67" s="13"/>
      <x:c r="M67" s="11" t="str">
        <x:v>Por verificar</x:v>
      </x:c>
      <x:c r="N67" s="11" t="str">
        <x:v>Trabajo futuro planificado. Inicio sujeto a validación y dependencias.</x:v>
      </x:c>
      <x:c r="O67" s="11" t="str">
        <x:v>Pendiente de vincular evidencia de la tarea</x:v>
      </x:c>
      <x:c r="P67" s="11" t="str">
        <x:v>Propuesto para validación</x:v>
      </x:c>
      <x:c r="Q67" s="12" t="str">
        <x:v>No</x:v>
      </x:c>
      <x:c r="R67" s="13" t="d">
        <x:v>2026-10-30T12:00:00.000Z</x:v>
      </x:c>
      <x:c r="S67" s="12" t="n">
        <x:f>I67-J67</x:f>
        <x:v>0</x:v>
      </x:c>
    </x:row>
    <x:row r="68" ht="49" customHeight="1">
      <x:c r="A68" s="10" t="str">
        <x:v>SB2-060</x:v>
      </x:c>
      <x:c r="B68" s="10" t="str">
        <x:v>Sprint 2</x:v>
      </x:c>
      <x:c r="C68" s="10" t="str">
        <x:v>HU-041</x:v>
      </x:c>
      <x:c r="D68" s="10" t="str">
        <x:v>Verificar criterios de aceptación, permisos y casos negativos de HU-041.</x:v>
      </x:c>
      <x:c r="E68" s="10" t="str">
        <x:v>Franco Miranda</x:v>
      </x:c>
      <x:c r="F68" s="10" t="str">
        <x:v>SB2-059</x:v>
      </x:c>
      <x:c r="G68" s="10" t="str">
        <x:v>Casos ejecutados y evidencia vinculada; defectos clasificados; criterios del PBI verificados: Perfil aprobado visible; contacto público autorizado; aviso de negociación externa; perfiles rechazados ocultos.</x:v>
      </x:c>
      <x:c r="H68" s="11" t="str">
        <x:v>Pendiente</x:v>
      </x:c>
      <x:c r="I68" s="12" t="n">
        <x:v>1.5</x:v>
      </x:c>
      <x:c r="J68" s="12" t="n">
        <x:v>1.5</x:v>
      </x:c>
      <x:c r="K68" s="13" t="d">
        <x:v>2026-11-03T12:00:00.000Z</x:v>
      </x:c>
      <x:c r="L68" s="13"/>
      <x:c r="M68" s="11" t="str">
        <x:v>Por verificar</x:v>
      </x:c>
      <x:c r="N68" s="11" t="str">
        <x:v>Trabajo futuro planificado. Inicio sujeto a validación y dependencias.</x:v>
      </x:c>
      <x:c r="O68" s="11" t="str">
        <x:v>Pendiente de vincular evidencia de la tarea</x:v>
      </x:c>
      <x:c r="P68" s="11" t="str">
        <x:v>Propuesto para validación</x:v>
      </x:c>
      <x:c r="Q68" s="12" t="str">
        <x:v>No</x:v>
      </x:c>
      <x:c r="R68" s="13" t="d">
        <x:v>2026-11-02T12:00:00.000Z</x:v>
      </x:c>
      <x:c r="S68" s="12" t="n">
        <x:f>I68-J68</x:f>
        <x:v>0</x:v>
      </x:c>
    </x:row>
    <x:row r="69" ht="38" customHeight="1">
      <x:c r="A69" s="6" t="str">
        <x:v>SB2-061</x:v>
      </x:c>
      <x:c r="B69" s="6" t="str">
        <x:v>Sprint 2</x:v>
      </x:c>
      <x:c r="C69" s="6" t="str">
        <x:v>HU-042</x:v>
      </x:c>
      <x:c r="D69" s="6" t="str">
        <x:v>Diseñar o ajustar interfaz y mensajes para promoción y contacto de maestros.</x:v>
      </x:c>
      <x:c r="E69" s="6" t="str">
        <x:v>Vicente Palma</x:v>
      </x:c>
      <x:c r="F69" s="6" t="str">
        <x:v>HU-041</x:v>
      </x:c>
      <x:c r="G69" s="6" t="str">
        <x:v>Vista o flujo revisado, campos y mensajes definidos y comportamiento móvil considerado.</x:v>
      </x:c>
      <x:c r="H69" s="11" t="str">
        <x:v>Pendiente</x:v>
      </x:c>
      <x:c r="I69" s="12" t="n">
        <x:v>1.5</x:v>
      </x:c>
      <x:c r="J69" s="12" t="n">
        <x:v>1.5</x:v>
      </x:c>
      <x:c r="K69" s="13" t="d">
        <x:v>2026-10-27T12:00:00.000Z</x:v>
      </x:c>
      <x:c r="L69" s="13"/>
      <x:c r="M69" s="11" t="str">
        <x:v>Por verificar</x:v>
      </x:c>
      <x:c r="N69" s="11" t="str">
        <x:v>Trabajo futuro planificado. Inicio sujeto a validación y dependencias.</x:v>
      </x:c>
      <x:c r="O69" s="11" t="str">
        <x:v>Pendiente de vincular evidencia de la tarea</x:v>
      </x:c>
      <x:c r="P69" s="11" t="str">
        <x:v>Propuesto para validación</x:v>
      </x:c>
      <x:c r="Q69" s="12" t="str">
        <x:v>No</x:v>
      </x:c>
      <x:c r="R69" s="13" t="d">
        <x:v>2026-10-27T12:00:00.000Z</x:v>
      </x:c>
      <x:c r="S69" s="12" t="n">
        <x:f>I69-J69</x:f>
        <x:v>0</x:v>
      </x:c>
    </x:row>
    <x:row r="70" ht="38" customHeight="1">
      <x:c r="A70" s="10" t="str">
        <x:v>SB2-062</x:v>
      </x:c>
      <x:c r="B70" s="10" t="str">
        <x:v>Sprint 2</x:v>
      </x:c>
      <x:c r="C70" s="10" t="str">
        <x:v>HU-042</x:v>
      </x:c>
      <x:c r="D70" s="10" t="str">
        <x:v>Implementar la función para publicar una descripción de sus servicios.</x:v>
      </x:c>
      <x:c r="E70" s="10" t="str">
        <x:v>Alonso Urrutia</x:v>
      </x:c>
      <x:c r="F70" s="10" t="str">
        <x:v>SB2-061</x:v>
      </x:c>
      <x:c r="G70" s="10" t="str">
        <x:v>Descripción editable por su propietario; datos validados; publicación sujeta a aprobación; sin cotización contractual dentro de SFI.</x:v>
      </x:c>
      <x:c r="H70" s="11" t="str">
        <x:v>Pendiente</x:v>
      </x:c>
      <x:c r="I70" s="12" t="n">
        <x:v>4</x:v>
      </x:c>
      <x:c r="J70" s="12" t="n">
        <x:v>4</x:v>
      </x:c>
      <x:c r="K70" s="13" t="d">
        <x:v>2026-11-03T12:00:00.000Z</x:v>
      </x:c>
      <x:c r="L70" s="13"/>
      <x:c r="M70" s="11" t="str">
        <x:v>Por verificar</x:v>
      </x:c>
      <x:c r="N70" s="11" t="str">
        <x:v>Trabajo futuro planificado. Inicio sujeto a validación y dependencias.</x:v>
      </x:c>
      <x:c r="O70" s="11" t="str">
        <x:v>Pendiente de vincular evidencia de la tarea</x:v>
      </x:c>
      <x:c r="P70" s="11" t="str">
        <x:v>Propuesto para validación</x:v>
      </x:c>
      <x:c r="Q70" s="12" t="str">
        <x:v>No</x:v>
      </x:c>
      <x:c r="R70" s="13" t="d">
        <x:v>2026-11-02T12:00:00.000Z</x:v>
      </x:c>
      <x:c r="S70" s="12" t="n">
        <x:f>I70-J70</x:f>
        <x:v>0</x:v>
      </x:c>
    </x:row>
    <x:row r="71" ht="62" customHeight="1">
      <x:c r="A71" s="6" t="str">
        <x:v>SB2-063</x:v>
      </x:c>
      <x:c r="B71" s="6" t="str">
        <x:v>Sprint 2</x:v>
      </x:c>
      <x:c r="C71" s="6" t="str">
        <x:v>HU-042</x:v>
      </x:c>
      <x:c r="D71" s="6" t="str">
        <x:v>Verificar criterios de aceptación, permisos y casos negativos de HU-042.</x:v>
      </x:c>
      <x:c r="E71" s="6" t="str">
        <x:v>Franco Miranda</x:v>
      </x:c>
      <x:c r="F71" s="6" t="str">
        <x:v>SB2-062</x:v>
      </x:c>
      <x:c r="G71" s="6" t="str">
        <x:v>Casos ejecutados y evidencia vinculada; defectos clasificados; criterios del PBI verificados: Descripción editable por su propietario; datos validados; publicación sujeta a aprobación; sin cotización contractual dentro de SFI.</x:v>
      </x:c>
      <x:c r="H71" s="11" t="str">
        <x:v>Pendiente</x:v>
      </x:c>
      <x:c r="I71" s="12" t="n">
        <x:v>1.5</x:v>
      </x:c>
      <x:c r="J71" s="12" t="n">
        <x:v>1.5</x:v>
      </x:c>
      <x:c r="K71" s="13" t="d">
        <x:v>2026-11-04T12:00:00.000Z</x:v>
      </x:c>
      <x:c r="L71" s="13"/>
      <x:c r="M71" s="11" t="str">
        <x:v>Por verificar</x:v>
      </x:c>
      <x:c r="N71" s="11" t="str">
        <x:v>Trabajo futuro planificado. Inicio sujeto a validación y dependencias.</x:v>
      </x:c>
      <x:c r="O71" s="11" t="str">
        <x:v>Pendiente de vincular evidencia de la tarea</x:v>
      </x:c>
      <x:c r="P71" s="11" t="str">
        <x:v>Propuesto para validación</x:v>
      </x:c>
      <x:c r="Q71" s="12" t="str">
        <x:v>No</x:v>
      </x:c>
      <x:c r="R71" s="13" t="d">
        <x:v>2026-11-03T12:00:00.000Z</x:v>
      </x:c>
      <x:c r="S71" s="12" t="n">
        <x:f>I71-J71</x:f>
        <x:v>0</x:v>
      </x:c>
    </x:row>
    <x:row r="72" ht="38" customHeight="1">
      <x:c r="A72" s="10" t="str">
        <x:v>SB2-064</x:v>
      </x:c>
      <x:c r="B72" s="10" t="str">
        <x:v>Sprint 2</x:v>
      </x:c>
      <x:c r="C72" s="10" t="str">
        <x:v>HU-043</x:v>
      </x:c>
      <x:c r="D72" s="10" t="str">
        <x:v>Diseñar o ajustar interfaz y mensajes para promoción y contacto de maestros.</x:v>
      </x:c>
      <x:c r="E72" s="10" t="str">
        <x:v>Vicente Palma</x:v>
      </x:c>
      <x:c r="F72" s="10" t="str">
        <x:v>HU-041</x:v>
      </x:c>
      <x:c r="G72" s="10" t="str">
        <x:v>Vista o flujo revisado, campos y mensajes definidos y comportamiento móvil considerado.</x:v>
      </x:c>
      <x:c r="H72" s="11" t="str">
        <x:v>Pendiente</x:v>
      </x:c>
      <x:c r="I72" s="12" t="n">
        <x:v>1</x:v>
      </x:c>
      <x:c r="J72" s="12" t="n">
        <x:v>1</x:v>
      </x:c>
      <x:c r="K72" s="13" t="d">
        <x:v>2026-10-28T12:00:00.000Z</x:v>
      </x:c>
      <x:c r="L72" s="13"/>
      <x:c r="M72" s="11" t="str">
        <x:v>Por verificar</x:v>
      </x:c>
      <x:c r="N72" s="11" t="str">
        <x:v>Trabajo futuro planificado. Inicio sujeto a validación y dependencias.</x:v>
      </x:c>
      <x:c r="O72" s="11" t="str">
        <x:v>Pendiente de vincular evidencia de la tarea</x:v>
      </x:c>
      <x:c r="P72" s="11" t="str">
        <x:v>Propuesto para validación</x:v>
      </x:c>
      <x:c r="Q72" s="12" t="str">
        <x:v>No</x:v>
      </x:c>
      <x:c r="R72" s="13" t="d">
        <x:v>2026-10-28T12:00:00.000Z</x:v>
      </x:c>
      <x:c r="S72" s="12" t="n">
        <x:f>I72-J72</x:f>
        <x:v>0</x:v>
      </x:c>
    </x:row>
    <x:row r="73" ht="38" customHeight="1">
      <x:c r="A73" s="6" t="str">
        <x:v>SB2-065</x:v>
      </x:c>
      <x:c r="B73" s="6" t="str">
        <x:v>Sprint 2</x:v>
      </x:c>
      <x:c r="C73" s="6" t="str">
        <x:v>HU-043</x:v>
      </x:c>
      <x:c r="D73" s="6" t="str">
        <x:v>Implementar la función para indicar su disponibilidad general de contacto.</x:v>
      </x:c>
      <x:c r="E73" s="6" t="str">
        <x:v>Alonso Urrutia</x:v>
      </x:c>
      <x:c r="F73" s="6" t="str">
        <x:v>SB2-064</x:v>
      </x:c>
      <x:c r="G73" s="6" t="str">
        <x:v>Disponibilidad informativa editable; visible en perfil aprobado; aviso de que no constituye reserva de obra.</x:v>
      </x:c>
      <x:c r="H73" s="11" t="str">
        <x:v>Pendiente</x:v>
      </x:c>
      <x:c r="I73" s="12" t="n">
        <x:v>2.5</x:v>
      </x:c>
      <x:c r="J73" s="12" t="n">
        <x:v>2.5</x:v>
      </x:c>
      <x:c r="K73" s="13" t="d">
        <x:v>2026-11-04T12:00:00.000Z</x:v>
      </x:c>
      <x:c r="L73" s="13"/>
      <x:c r="M73" s="11" t="str">
        <x:v>Por verificar</x:v>
      </x:c>
      <x:c r="N73" s="11" t="str">
        <x:v>Trabajo futuro planificado. Inicio sujeto a validación y dependencias.</x:v>
      </x:c>
      <x:c r="O73" s="11" t="str">
        <x:v>Pendiente de vincular evidencia de la tarea</x:v>
      </x:c>
      <x:c r="P73" s="11" t="str">
        <x:v>Propuesto para validación</x:v>
      </x:c>
      <x:c r="Q73" s="12" t="str">
        <x:v>No</x:v>
      </x:c>
      <x:c r="R73" s="13" t="d">
        <x:v>2026-11-03T12:00:00.000Z</x:v>
      </x:c>
      <x:c r="S73" s="12" t="n">
        <x:f>I73-J73</x:f>
        <x:v>0</x:v>
      </x:c>
    </x:row>
    <x:row r="74" ht="49" customHeight="1">
      <x:c r="A74" s="10" t="str">
        <x:v>SB2-066</x:v>
      </x:c>
      <x:c r="B74" s="10" t="str">
        <x:v>Sprint 2</x:v>
      </x:c>
      <x:c r="C74" s="10" t="str">
        <x:v>HU-043</x:v>
      </x:c>
      <x:c r="D74" s="10" t="str">
        <x:v>Verificar criterios de aceptación, permisos y casos negativos de HU-043.</x:v>
      </x:c>
      <x:c r="E74" s="10" t="str">
        <x:v>Franco Miranda</x:v>
      </x:c>
      <x:c r="F74" s="10" t="str">
        <x:v>SB2-065</x:v>
      </x:c>
      <x:c r="G74" s="10" t="str">
        <x:v>Casos ejecutados y evidencia vinculada; defectos clasificados; criterios del PBI verificados: Disponibilidad informativa editable; visible en perfil aprobado; aviso de que no constituye reserva de obra.</x:v>
      </x:c>
      <x:c r="H74" s="11" t="str">
        <x:v>Pendiente</x:v>
      </x:c>
      <x:c r="I74" s="12" t="n">
        <x:v>1</x:v>
      </x:c>
      <x:c r="J74" s="12" t="n">
        <x:v>1</x:v>
      </x:c>
      <x:c r="K74" s="13" t="d">
        <x:v>2026-11-04T12:00:00.000Z</x:v>
      </x:c>
      <x:c r="L74" s="13"/>
      <x:c r="M74" s="11" t="str">
        <x:v>Por verificar</x:v>
      </x:c>
      <x:c r="N74" s="11" t="str">
        <x:v>Trabajo futuro planificado. Inicio sujeto a validación y dependencias.</x:v>
      </x:c>
      <x:c r="O74" s="11" t="str">
        <x:v>Pendiente de vincular evidencia de la tarea</x:v>
      </x:c>
      <x:c r="P74" s="11" t="str">
        <x:v>Propuesto para validación</x:v>
      </x:c>
      <x:c r="Q74" s="12" t="str">
        <x:v>No</x:v>
      </x:c>
      <x:c r="R74" s="13" t="d">
        <x:v>2026-11-04T12:00:00.000Z</x:v>
      </x:c>
      <x:c r="S74" s="12" t="n">
        <x:f>I74-J74</x:f>
        <x:v>0</x:v>
      </x:c>
    </x:row>
    <x:row r="75" ht="38" customHeight="1">
      <x:c r="A75" s="6" t="str">
        <x:v>SB2-067</x:v>
      </x:c>
      <x:c r="B75" s="6" t="str">
        <x:v>Sprint 2</x:v>
      </x:c>
      <x:c r="C75" s="6" t="str">
        <x:v>HU-044</x:v>
      </x:c>
      <x:c r="D75" s="6" t="str">
        <x:v>Diseñar o ajustar interfaz y mensajes para promoción y contacto de maestros.</x:v>
      </x:c>
      <x:c r="E75" s="6" t="str">
        <x:v>Vicente Palma</x:v>
      </x:c>
      <x:c r="F75" s="6" t="str">
        <x:v>HU-041, HU-042</x:v>
      </x:c>
      <x:c r="G75" s="6" t="str">
        <x:v>Vista o flujo revisado, campos y mensajes definidos y comportamiento móvil considerado.</x:v>
      </x:c>
      <x:c r="H75" s="11" t="str">
        <x:v>Pendiente</x:v>
      </x:c>
      <x:c r="I75" s="12" t="n">
        <x:v>1</x:v>
      </x:c>
      <x:c r="J75" s="12" t="n">
        <x:v>1</x:v>
      </x:c>
      <x:c r="K75" s="13" t="d">
        <x:v>2026-10-28T12:00:00.000Z</x:v>
      </x:c>
      <x:c r="L75" s="13"/>
      <x:c r="M75" s="11" t="str">
        <x:v>Por verificar</x:v>
      </x:c>
      <x:c r="N75" s="11" t="str">
        <x:v>Trabajo futuro planificado. Inicio sujeto a validación y dependencias.</x:v>
      </x:c>
      <x:c r="O75" s="11" t="str">
        <x:v>Pendiente de vincular evidencia de la tarea</x:v>
      </x:c>
      <x:c r="P75" s="11" t="str">
        <x:v>Propuesto para validación</x:v>
      </x:c>
      <x:c r="Q75" s="12" t="str">
        <x:v>No</x:v>
      </x:c>
      <x:c r="R75" s="13" t="d">
        <x:v>2026-10-28T12:00:00.000Z</x:v>
      </x:c>
      <x:c r="S75" s="12" t="n">
        <x:f>I75-J75</x:f>
        <x:v>0</x:v>
      </x:c>
    </x:row>
    <x:row r="76" ht="38" customHeight="1">
      <x:c r="A76" s="10" t="str">
        <x:v>SB2-068</x:v>
      </x:c>
      <x:c r="B76" s="10" t="str">
        <x:v>Sprint 2</x:v>
      </x:c>
      <x:c r="C76" s="10" t="str">
        <x:v>HU-044</x:v>
      </x:c>
      <x:c r="D76" s="10" t="str">
        <x:v>Implementar la función para conocer el alcance del directorio de maestros.</x:v>
      </x:c>
      <x:c r="E76" s="10" t="str">
        <x:v>Alonso Urrutia</x:v>
      </x:c>
      <x:c r="F76" s="10" t="str">
        <x:v>SB2-067</x:v>
      </x:c>
      <x:c r="G76" s="10" t="str">
        <x:v>Aviso visible antes del contacto; negociación y ejecución externas; sin seguimiento contractual de obras en la plataforma.</x:v>
      </x:c>
      <x:c r="H76" s="11" t="str">
        <x:v>Pendiente</x:v>
      </x:c>
      <x:c r="I76" s="12" t="n">
        <x:v>2.5</x:v>
      </x:c>
      <x:c r="J76" s="12" t="n">
        <x:v>2.5</x:v>
      </x:c>
      <x:c r="K76" s="13" t="d">
        <x:v>2026-11-05T12:00:00.000Z</x:v>
      </x:c>
      <x:c r="L76" s="13"/>
      <x:c r="M76" s="11" t="str">
        <x:v>Por verificar</x:v>
      </x:c>
      <x:c r="N76" s="11" t="str">
        <x:v>Trabajo futuro planificado. Inicio sujeto a validación y dependencias.</x:v>
      </x:c>
      <x:c r="O76" s="11" t="str">
        <x:v>Pendiente de vincular evidencia de la tarea</x:v>
      </x:c>
      <x:c r="P76" s="11" t="str">
        <x:v>Propuesto para validación</x:v>
      </x:c>
      <x:c r="Q76" s="12" t="str">
        <x:v>No</x:v>
      </x:c>
      <x:c r="R76" s="13" t="d">
        <x:v>2026-11-04T12:00:00.000Z</x:v>
      </x:c>
      <x:c r="S76" s="12" t="n">
        <x:f>I76-J76</x:f>
        <x:v>0</x:v>
      </x:c>
    </x:row>
    <x:row r="77" ht="62" customHeight="1">
      <x:c r="A77" s="6" t="str">
        <x:v>SB2-069</x:v>
      </x:c>
      <x:c r="B77" s="6" t="str">
        <x:v>Sprint 2</x:v>
      </x:c>
      <x:c r="C77" s="6" t="str">
        <x:v>HU-044</x:v>
      </x:c>
      <x:c r="D77" s="6" t="str">
        <x:v>Verificar criterios de aceptación, permisos y casos negativos de HU-044.</x:v>
      </x:c>
      <x:c r="E77" s="6" t="str">
        <x:v>Franco Miranda</x:v>
      </x:c>
      <x:c r="F77" s="6" t="str">
        <x:v>SB2-068</x:v>
      </x:c>
      <x:c r="G77" s="6" t="str">
        <x:v>Casos ejecutados y evidencia vinculada; defectos clasificados; criterios del PBI verificados: Aviso visible antes del contacto; negociación y ejecución externas; sin seguimiento contractual de obras en la plataforma.</x:v>
      </x:c>
      <x:c r="H77" s="11" t="str">
        <x:v>Pendiente</x:v>
      </x:c>
      <x:c r="I77" s="12" t="n">
        <x:v>1</x:v>
      </x:c>
      <x:c r="J77" s="12" t="n">
        <x:v>1</x:v>
      </x:c>
      <x:c r="K77" s="13" t="d">
        <x:v>2026-11-05T12:00:00.000Z</x:v>
      </x:c>
      <x:c r="L77" s="13"/>
      <x:c r="M77" s="11" t="str">
        <x:v>Por verificar</x:v>
      </x:c>
      <x:c r="N77" s="11" t="str">
        <x:v>Trabajo futuro planificado. Inicio sujeto a validación y dependencias.</x:v>
      </x:c>
      <x:c r="O77" s="11" t="str">
        <x:v>Pendiente de vincular evidencia de la tarea</x:v>
      </x:c>
      <x:c r="P77" s="11" t="str">
        <x:v>Propuesto para validación</x:v>
      </x:c>
      <x:c r="Q77" s="12" t="str">
        <x:v>No</x:v>
      </x:c>
      <x:c r="R77" s="13" t="d">
        <x:v>2026-11-05T12:00:00.000Z</x:v>
      </x:c>
      <x:c r="S77" s="12" t="n">
        <x:f>I77-J77</x:f>
        <x:v>0</x:v>
      </x:c>
    </x:row>
    <x:row r="78" ht="38" customHeight="1">
      <x:c r="A78" s="10" t="str">
        <x:v>SB2-070</x:v>
      </x:c>
      <x:c r="B78" s="10" t="str">
        <x:v>Sprint 2</x:v>
      </x:c>
      <x:c r="C78" s="10" t="str">
        <x:v>TA-008</x:v>
      </x:c>
      <x:c r="D78" s="10" t="str">
        <x:v>Aplicar la identidad visual y configuración comercial de la empresa compradora.</x:v>
      </x:c>
      <x:c r="E78" s="10" t="str">
        <x:v>Vicente Palma / Alonso Urrutia</x:v>
      </x:c>
      <x:c r="F78" s="10" t="str">
        <x:v>TA-007</x:v>
      </x:c>
      <x:c r="G78" s="10" t="str">
        <x:v>Marca configurable; datos corporativos actualizados; reglas comerciales aplicadas; aprobación del cliente.</x:v>
      </x:c>
      <x:c r="H78" s="11" t="str">
        <x:v>Pendiente</x:v>
      </x:c>
      <x:c r="I78" s="12" t="n">
        <x:v>3</x:v>
      </x:c>
      <x:c r="J78" s="12" t="n">
        <x:v>3</x:v>
      </x:c>
      <x:c r="K78" s="13" t="d">
        <x:v>2026-11-05T12:00:00.000Z</x:v>
      </x:c>
      <x:c r="L78" s="13"/>
      <x:c r="M78" s="11" t="str">
        <x:v>Por verificar</x:v>
      </x:c>
      <x:c r="N78" s="11" t="str">
        <x:v>Trabajo futuro planificado. Inicio sujeto a validación y dependencias.</x:v>
      </x:c>
      <x:c r="O78" s="11" t="str">
        <x:v>Pendiente de vincular evidencia de la tarea</x:v>
      </x:c>
      <x:c r="P78" s="11" t="str">
        <x:v>Pendiente</x:v>
      </x:c>
      <x:c r="Q78" s="12" t="str">
        <x:v>No</x:v>
      </x:c>
      <x:c r="R78" s="13" t="d">
        <x:v>2026-11-05T12:00:00.000Z</x:v>
      </x:c>
      <x:c r="S78" s="12" t="n">
        <x:f>I78-J78</x:f>
        <x:v>0</x:v>
      </x:c>
    </x:row>
    <x:row r="79" ht="38" customHeight="1">
      <x:c r="A79" s="6" t="str">
        <x:v>SB2-071</x:v>
      </x:c>
      <x:c r="B79" s="6" t="str">
        <x:v>Sprint 2</x:v>
      </x:c>
      <x:c r="C79" s="6" t="str">
        <x:v>TA-009</x:v>
      </x:c>
      <x:c r="D79" s="6" t="str">
        <x:v>Preparar y cargar el catálogo, precios, stock y datos iniciales entregados por la empresa.</x:v>
      </x:c>
      <x:c r="E79" s="6" t="str">
        <x:v>Alonso Urrutia</x:v>
      </x:c>
      <x:c r="F79" s="6" t="str">
        <x:v>TA-008</x:v>
      </x:c>
      <x:c r="G79" s="6" t="str">
        <x:v>Formato de carga validado; datos depurados; importación trazable; totales reconciliados.</x:v>
      </x:c>
      <x:c r="H79" s="11" t="str">
        <x:v>Pendiente</x:v>
      </x:c>
      <x:c r="I79" s="12" t="n">
        <x:v>4</x:v>
      </x:c>
      <x:c r="J79" s="12" t="n">
        <x:v>4</x:v>
      </x:c>
      <x:c r="K79" s="13" t="d">
        <x:v>2026-11-06T12:00:00.000Z</x:v>
      </x:c>
      <x:c r="L79" s="13"/>
      <x:c r="M79" s="11" t="str">
        <x:v>Por verificar</x:v>
      </x:c>
      <x:c r="N79" s="11" t="str">
        <x:v>Trabajo futuro planificado. Inicio sujeto a validación y dependencias.</x:v>
      </x:c>
      <x:c r="O79" s="11" t="str">
        <x:v>Pendiente de vincular evidencia de la tarea</x:v>
      </x:c>
      <x:c r="P79" s="11" t="str">
        <x:v>Pendiente</x:v>
      </x:c>
      <x:c r="Q79" s="12" t="str">
        <x:v>No</x:v>
      </x:c>
      <x:c r="R79" s="13" t="d">
        <x:v>2026-11-05T12:00:00.000Z</x:v>
      </x:c>
      <x:c r="S79" s="12" t="n">
        <x:f>I79-J79</x:f>
        <x:v>0</x:v>
      </x:c>
    </x:row>
    <x:row r="80" ht="38" customHeight="1">
      <x:c r="A80" s="10" t="str">
        <x:v>SB2-072</x:v>
      </x:c>
      <x:c r="B80" s="10" t="str">
        <x:v>Sprint 2</x:v>
      </x:c>
      <x:c r="C80" s="10" t="str">
        <x:v>TA-010</x:v>
      </x:c>
      <x:c r="D80" s="10" t="str">
        <x:v>Integrar las fuentes empresariales acordadas para catálogo, stock o despacho.</x:v>
      </x:c>
      <x:c r="E80" s="10" t="str">
        <x:v>Alonso Urrutia</x:v>
      </x:c>
      <x:c r="F80" s="10" t="str">
        <x:v>TA-009</x:v>
      </x:c>
      <x:c r="G80" s="10" t="str">
        <x:v>Contrato de integración definido; autenticación segura; sincronización controlada; errores y reintentos registrados.</x:v>
      </x:c>
      <x:c r="H80" s="11" t="str">
        <x:v>Pendiente</x:v>
      </x:c>
      <x:c r="I80" s="12" t="n">
        <x:v>6.5</x:v>
      </x:c>
      <x:c r="J80" s="12" t="n">
        <x:v>6.5</x:v>
      </x:c>
      <x:c r="K80" s="13" t="d">
        <x:v>2026-11-10T12:00:00.000Z</x:v>
      </x:c>
      <x:c r="L80" s="13"/>
      <x:c r="M80" s="11" t="str">
        <x:v>Por verificar</x:v>
      </x:c>
      <x:c r="N80" s="11" t="str">
        <x:v>Trabajo futuro planificado. Inicio sujeto a validación y dependencias.</x:v>
      </x:c>
      <x:c r="O80" s="11" t="str">
        <x:v>Pendiente de vincular evidencia de la tarea</x:v>
      </x:c>
      <x:c r="P80" s="11" t="str">
        <x:v>Pendiente</x:v>
      </x:c>
      <x:c r="Q80" s="12" t="str">
        <x:v>No</x:v>
      </x:c>
      <x:c r="R80" s="13" t="d">
        <x:v>2026-11-06T12:00:00.000Z</x:v>
      </x:c>
      <x:c r="S80" s="12" t="n">
        <x:f>I80-J80</x:f>
        <x:v>0</x:v>
      </x:c>
    </x:row>
    <x:row r="81" ht="38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 ht="38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 ht="62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</x:sheetData>
  <x:conditionalFormatting sqref="H9:H83">
    <x:cfRule type="containsText" dxfId="2" priority="1" operator="containsText" text="Terminado"/>
    <x:cfRule type="containsText" dxfId="3" priority="2" operator="containsText" text="Bloqueado"/>
  </x:conditionalFormatting>
  <x:dataValidations count="6">
    <x:dataValidation type="list" sqref="H81:H83">
      <x:formula1>"Por verificar,Pendiente,En progreso,Bloqueado,En revisión,Terminado"</x:formula1>
    </x:dataValidation>
    <x:dataValidation type="list" sqref="M81:M83">
      <x:formula1>"Sí,No,Parcial"</x:formula1>
    </x:dataValidation>
    <x:dataValidation type="list" sqref="H9:H80">
      <x:formula1>"Por verificar,Pendiente,En progreso,Bloqueado,En revisión,Terminado"</x:formula1>
    </x:dataValidation>
    <x:dataValidation type="list" sqref="M9:M80">
      <x:formula1>"Sí,No,Parcial,Por verificar"</x:formula1>
    </x:dataValidation>
    <x:dataValidation type="list" sqref="P9:P80">
      <x:formula1>"Completado,En revisión,Propuesto para validación,Pendiente,Pendiente de verificación"</x:formula1>
    </x:dataValidation>
    <x:dataValidation type="list" sqref="Q9:Q80">
      <x:formula1>"Sí,No,Parcial,Por verificar"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b3d414119b4d29"/>
  </x:tableParts>
</x:worksheet>
</file>

<file path=xl/worksheets/sheet3.xml><?xml version="1.0" encoding="utf-8"?>
<x:worksheet xmlns:x="http://schemas.openxmlformats.org/spreadsheetml/2006/main">
  <x:sheetPr>
    <x:tabColor rgb="FF163A5F"/>
  </x:sheetPr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1" hidden="0" customWidth="1"/>
    <x:col min="4" max="4" width="65" hidden="0" customWidth="1"/>
    <x:col min="5" max="5" width="34" hidden="0" customWidth="1"/>
    <x:col min="6" max="6" width="28" hidden="0" customWidth="1"/>
    <x:col min="7" max="7" width="75" hidden="0" customWidth="1"/>
    <x:col min="8" max="8" width="23" hidden="0" customWidth="1"/>
    <x:col min="9" max="9" width="18" hidden="0" customWidth="1"/>
    <x:col min="10" max="10" width="18" hidden="0" customWidth="1"/>
    <x:col min="11" max="11" width="19" hidden="0" customWidth="1"/>
    <x:col min="12" max="12" width="19" hidden="0" customWidth="1"/>
    <x:col min="13" max="13" width="18" hidden="0" customWidth="1"/>
    <x:col min="14" max="14" width="42" hidden="0" customWidth="1"/>
    <x:col min="15" max="15" width="42" hidden="0" customWidth="1"/>
    <x:col min="16" max="16" width="29" hidden="0" customWidth="1"/>
    <x:col min="17" max="17" width="29" hidden="0" customWidth="1"/>
    <x:col min="18" max="18" width="24" hidden="0" customWidth="1"/>
    <x:col min="19" max="19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3" t="str">
        <x:v>Sprint Backlog SFI  •  Sprint 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2" t="str">
        <x:v>Versión 2.2</x:v>
      </x:c>
      <x:c r="B3" s="2"/>
      <x:c r="C3" s="2"/>
      <x:c r="D3" s="4" t="d">
        <x:v>2026-10-26T12:00:00.000Z</x:v>
      </x:c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>
      <x:c r="A5" s="2" t="str">
        <x:v>Total tareas</x:v>
      </x:c>
      <x:c r="B5" s="2" t="n">
        <x:f>COUNTA(A9:A18)</x:f>
        <x:v>10</x:v>
      </x:c>
      <x:c r="C5" s="2" t="str">
        <x:v>Tareas terminadas</x:v>
      </x:c>
      <x:c r="D5" s="2" t="n">
        <x:f>COUNTIFS(H9:H18,"Terminado",M9:M18,"Sí")</x:f>
        <x:v>0</x:v>
      </x:c>
      <x:c r="E5" s="2" t="str">
        <x:v>Bloqueadas</x:v>
      </x:c>
      <x:c r="F5" s="2" t="n">
        <x:f>COUNTIF(H9:H18,"Bloqueado")</x:f>
        <x:v>0</x:v>
      </x:c>
      <x:c r="G5" s="2"/>
      <x:c r="H5" s="2" t="str">
        <x:v>PBI completados</x:v>
      </x:c>
      <x:c r="I5" s="2" t="n">
        <x:v>0</x:v>
      </x:c>
      <x:c r="J5" s="2" t="str">
        <x:v>Total PBI</x:v>
      </x:c>
      <x:c r="K5" s="2" t="n">
        <x:v>9</x:v>
      </x:c>
      <x:c r="L5" s="2"/>
      <x:c r="M5" s="2"/>
      <x:c r="N5" s="2"/>
      <x:c r="O5" s="2"/>
    </x:row>
    <x:row r="6">
      <x:c r="A6" s="5" t="str">
        <x:v>Objetivo: QA final, documentación, validación empresarial y entrega.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>
      <x:c r="A7" s="5" t="str">
        <x:v>Corte estimado 26/10/2026. Tareas de PBI completados marcadas según Product Backlog; evidencias por vincular. Horas y fechas son estimaciones.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</x:row>
    <x:row r="8" ht="36" customHeight="1">
      <x:c r="A8" s="9" t="str">
        <x:v>ID tarea</x:v>
      </x:c>
      <x:c r="B8" s="9" t="str">
        <x:v>Sprint</x:v>
      </x:c>
      <x:c r="C8" s="9" t="str">
        <x:v>PBI relacionado</x:v>
      </x:c>
      <x:c r="D8" s="9" t="str">
        <x:v>Tarea</x:v>
      </x:c>
      <x:c r="E8" s="9" t="str">
        <x:v>Responsable</x:v>
      </x:c>
      <x:c r="F8" s="9" t="str">
        <x:v>Dependencias</x:v>
      </x:c>
      <x:c r="G8" s="9" t="str">
        <x:v>Salida verificable</x:v>
      </x:c>
      <x:c r="H8" s="9" t="str">
        <x:v>Estado</x:v>
      </x:c>
      <x:c r="I8" s="9" t="str">
        <x:v>Estimación horas</x:v>
      </x:c>
      <x:c r="J8" s="9" t="str">
        <x:v>Horas restantes</x:v>
      </x:c>
      <x:c r="K8" s="9" t="str">
        <x:v>Fecha objetivo</x:v>
      </x:c>
      <x:c r="L8" s="9" t="str">
        <x:v>Fecha cierre estimada</x:v>
      </x:c>
      <x:c r="M8" s="9" t="str">
        <x:v>Cumple DoD</x:v>
      </x:c>
      <x:c r="N8" s="9" t="str">
        <x:v>Bloqueo y acción</x:v>
      </x:c>
      <x:c r="O8" s="9" t="str">
        <x:v>Evidencia</x:v>
      </x:c>
      <x:c r="P8" s="9" t="str">
        <x:v>Estado PBI (Product)</x:v>
      </x:c>
      <x:c r="Q8" s="9" t="str">
        <x:v>DoD PBI (Product)</x:v>
      </x:c>
      <x:c r="R8" s="9" t="str">
        <x:v>Inicio estimado</x:v>
      </x:c>
      <x:c r="S8" s="9" t="str">
        <x:v>Horas realizadas estimadas</x:v>
      </x:c>
    </x:row>
    <x:row r="9" ht="38" customHeight="1">
      <x:c r="A9" s="6" t="str">
        <x:v>SB3-001</x:v>
      </x:c>
      <x:c r="B9" s="6" t="str">
        <x:v>Sprint 3</x:v>
      </x:c>
      <x:c r="C9" s="6" t="str">
        <x:v>TA-011</x:v>
      </x:c>
      <x:c r="D9" s="6" t="str">
        <x:v>Fortalecer autenticación, autorización, privacidad y manejo seguro de configuraciones.</x:v>
      </x:c>
      <x:c r="E9" s="6" t="str">
        <x:v>Alonso Urrutia / Franco Miranda</x:v>
      </x:c>
      <x:c r="F9" s="6" t="str">
        <x:v>TA-007</x:v>
      </x:c>
      <x:c r="G9" s="6" t="str">
        <x:v>Secretos fuera del código; permisos auditados; entradas validadas; hallazgos críticos corregidos.</x:v>
      </x:c>
      <x:c r="H9" s="11" t="str">
        <x:v>Pendiente</x:v>
      </x:c>
      <x:c r="I9" s="12" t="n">
        <x:v>4</x:v>
      </x:c>
      <x:c r="J9" s="12" t="n">
        <x:v>4</x:v>
      </x:c>
      <x:c r="K9" s="13" t="d">
        <x:v>2026-11-16T12:00:00.000Z</x:v>
      </x:c>
      <x:c r="L9" s="13"/>
      <x:c r="M9" s="11" t="str">
        <x:v>Por verificar</x:v>
      </x:c>
      <x:c r="N9" s="11" t="str">
        <x:v>Trabajo futuro planificado. Inicio sujeto a validación y dependencias.</x:v>
      </x:c>
      <x:c r="O9" s="11" t="str">
        <x:v>Pendiente de vincular evidencia de la tarea</x:v>
      </x:c>
      <x:c r="P9" s="11" t="str">
        <x:v>Pendiente</x:v>
      </x:c>
      <x:c r="Q9" s="12" t="str">
        <x:v>No</x:v>
      </x:c>
      <x:c r="R9" s="13" t="d">
        <x:v>2026-11-16T12:00:00.000Z</x:v>
      </x:c>
      <x:c r="S9" s="12" t="n">
        <x:f>I9-J9</x:f>
        <x:v>0</x:v>
      </x:c>
    </x:row>
    <x:row r="10" ht="38" customHeight="1">
      <x:c r="A10" s="10" t="str">
        <x:v>SB3-002</x:v>
      </x:c>
      <x:c r="B10" s="10" t="str">
        <x:v>Sprint 3</x:v>
      </x:c>
      <x:c r="C10" s="10" t="str">
        <x:v>TA-012</x:v>
      </x:c>
      <x:c r="D10" s="10" t="str">
        <x:v>Optimizar consultas y recorridos críticos para mantener tiempos de respuesta aceptables.</x:v>
      </x:c>
      <x:c r="E10" s="10" t="str">
        <x:v>Alonso Urrutia / Franco Miranda</x:v>
      </x:c>
      <x:c r="F10" s="10" t="str">
        <x:v>TA-007</x:v>
      </x:c>
      <x:c r="G10" s="10" t="str">
        <x:v>Consultas críticas medidas; cargas redundantes reducidas; páginas principales dentro del objetivo acordado.</x:v>
      </x:c>
      <x:c r="H10" s="11" t="str">
        <x:v>Pendiente</x:v>
      </x:c>
      <x:c r="I10" s="12" t="n">
        <x:v>4</x:v>
      </x:c>
      <x:c r="J10" s="12" t="n">
        <x:v>4</x:v>
      </x:c>
      <x:c r="K10" s="13" t="d">
        <x:v>2026-11-17T12:00:00.000Z</x:v>
      </x:c>
      <x:c r="L10" s="13"/>
      <x:c r="M10" s="11" t="str">
        <x:v>Por verificar</x:v>
      </x:c>
      <x:c r="N10" s="11" t="str">
        <x:v>Trabajo futuro planificado. Inicio sujeto a validación y dependencias.</x:v>
      </x:c>
      <x:c r="O10" s="11" t="str">
        <x:v>Pendiente de vincular evidencia de la tarea</x:v>
      </x:c>
      <x:c r="P10" s="11" t="str">
        <x:v>Pendiente</x:v>
      </x:c>
      <x:c r="Q10" s="12" t="str">
        <x:v>No</x:v>
      </x:c>
      <x:c r="R10" s="13" t="d">
        <x:v>2026-11-17T12:00:00.000Z</x:v>
      </x:c>
      <x:c r="S10" s="12" t="n">
        <x:f>I10-J10</x:f>
        <x:v>0</x:v>
      </x:c>
    </x:row>
    <x:row r="11" ht="38" customHeight="1">
      <x:c r="A11" s="6" t="str">
        <x:v>SB3-003</x:v>
      </x:c>
      <x:c r="B11" s="6" t="str">
        <x:v>Sprint 3</x:v>
      </x:c>
      <x:c r="C11" s="6" t="str">
        <x:v>TA-013</x:v>
      </x:c>
      <x:c r="D11" s="6" t="str">
        <x:v>Ejecutar regresión integral y resolver defectos antes del piloto.</x:v>
      </x:c>
      <x:c r="E11" s="6" t="str">
        <x:v>Franco Miranda</x:v>
      </x:c>
      <x:c r="F11" s="6" t="str">
        <x:v>TA-011, TA-012</x:v>
      </x:c>
      <x:c r="G11" s="6" t="str">
        <x:v>Casos principales ejecutados; defectos clasificados; críticos cerrados; evidencia de resultados disponible.</x:v>
      </x:c>
      <x:c r="H11" s="11" t="str">
        <x:v>Pendiente</x:v>
      </x:c>
      <x:c r="I11" s="12" t="n">
        <x:v>6.5</x:v>
      </x:c>
      <x:c r="J11" s="12" t="n">
        <x:v>6.5</x:v>
      </x:c>
      <x:c r="K11" s="13" t="d">
        <x:v>2026-11-20T12:00:00.000Z</x:v>
      </x:c>
      <x:c r="L11" s="13"/>
      <x:c r="M11" s="11" t="str">
        <x:v>Por verificar</x:v>
      </x:c>
      <x:c r="N11" s="11" t="str">
        <x:v>Trabajo futuro planificado. Inicio sujeto a validación y dependencias.</x:v>
      </x:c>
      <x:c r="O11" s="11" t="str">
        <x:v>Pendiente de vincular evidencia de la tarea</x:v>
      </x:c>
      <x:c r="P11" s="11" t="str">
        <x:v>Pendiente</x:v>
      </x:c>
      <x:c r="Q11" s="12" t="str">
        <x:v>No</x:v>
      </x:c>
      <x:c r="R11" s="13" t="d">
        <x:v>2026-11-19T12:00:00.000Z</x:v>
      </x:c>
      <x:c r="S11" s="12" t="n">
        <x:f>I11-J11</x:f>
        <x:v>0</x:v>
      </x:c>
    </x:row>
    <x:row r="12" ht="38" customHeight="1">
      <x:c r="A12" s="10" t="str">
        <x:v>SB3-004</x:v>
      </x:c>
      <x:c r="B12" s="10" t="str">
        <x:v>Sprint 3</x:v>
      </x:c>
      <x:c r="C12" s="10" t="str">
        <x:v>HU-045</x:v>
      </x:c>
      <x:c r="D12" s="10" t="str">
        <x:v>Preparar escenarios de aceptación y coordinar la validación con el representante del cliente.</x:v>
      </x:c>
      <x:c r="E12" s="10" t="str">
        <x:v>Felipe Chávez / Franco Miranda</x:v>
      </x:c>
      <x:c r="F12" s="10" t="str">
        <x:v>TA-013</x:v>
      </x:c>
      <x:c r="G12" s="10" t="str">
        <x:v>Casos UAT definidos, datos y participantes preparados para la sesión de aceptación.</x:v>
      </x:c>
      <x:c r="H12" s="11" t="str">
        <x:v>Pendiente</x:v>
      </x:c>
      <x:c r="I12" s="12" t="n">
        <x:v>4</x:v>
      </x:c>
      <x:c r="J12" s="12" t="n">
        <x:v>4</x:v>
      </x:c>
      <x:c r="K12" s="13" t="d">
        <x:v>2026-11-23T12:00:00.000Z</x:v>
      </x:c>
      <x:c r="L12" s="13"/>
      <x:c r="M12" s="11" t="str">
        <x:v>Por verificar</x:v>
      </x:c>
      <x:c r="N12" s="11" t="str">
        <x:v>Trabajo futuro planificado. Inicio sujeto a validación y dependencias.</x:v>
      </x:c>
      <x:c r="O12" s="11" t="str">
        <x:v>Pendiente de vincular evidencia de la tarea</x:v>
      </x:c>
      <x:c r="P12" s="11" t="str">
        <x:v>Pendiente</x:v>
      </x:c>
      <x:c r="Q12" s="12" t="str">
        <x:v>No</x:v>
      </x:c>
      <x:c r="R12" s="13" t="d">
        <x:v>2026-11-23T12:00:00.000Z</x:v>
      </x:c>
      <x:c r="S12" s="12" t="n">
        <x:f>I12-J12</x:f>
        <x:v>0</x:v>
      </x:c>
    </x:row>
    <x:row r="13" ht="38" customHeight="1">
      <x:c r="A13" s="6" t="str">
        <x:v>SB3-005</x:v>
      </x:c>
      <x:c r="B13" s="6" t="str">
        <x:v>Sprint 3</x:v>
      </x:c>
      <x:c r="C13" s="6" t="str">
        <x:v>HU-045</x:v>
      </x:c>
      <x:c r="D13" s="6" t="str">
        <x:v>Ejecutar y registrar la validación de usuario del piloto.</x:v>
      </x:c>
      <x:c r="E13" s="6" t="str">
        <x:v>Felipe Chávez / Franco Miranda</x:v>
      </x:c>
      <x:c r="F13" s="6" t="str">
        <x:v>SB3-004</x:v>
      </x:c>
      <x:c r="G13" s="6" t="str">
        <x:v>Casos UAT definidos; usuarios piloto habilitados; resultados registrados; aceptación o brechas documentadas.</x:v>
      </x:c>
      <x:c r="H13" s="11" t="str">
        <x:v>Pendiente</x:v>
      </x:c>
      <x:c r="I13" s="12" t="n">
        <x:v>4</x:v>
      </x:c>
      <x:c r="J13" s="12" t="n">
        <x:v>4</x:v>
      </x:c>
      <x:c r="K13" s="13" t="d">
        <x:v>2026-11-23T12:00:00.000Z</x:v>
      </x:c>
      <x:c r="L13" s="13"/>
      <x:c r="M13" s="11" t="str">
        <x:v>Por verificar</x:v>
      </x:c>
      <x:c r="N13" s="11" t="str">
        <x:v>Trabajo futuro planificado. Inicio sujeto a validación y dependencias.</x:v>
      </x:c>
      <x:c r="O13" s="11" t="str">
        <x:v>Pendiente de vincular evidencia de la tarea</x:v>
      </x:c>
      <x:c r="P13" s="11" t="str">
        <x:v>Pendiente</x:v>
      </x:c>
      <x:c r="Q13" s="12" t="str">
        <x:v>No</x:v>
      </x:c>
      <x:c r="R13" s="13" t="d">
        <x:v>2026-11-23T12:00:00.000Z</x:v>
      </x:c>
      <x:c r="S13" s="12" t="n">
        <x:f>I13-J13</x:f>
        <x:v>0</x:v>
      </x:c>
    </x:row>
    <x:row r="14" ht="38" customHeight="1">
      <x:c r="A14" s="10" t="str">
        <x:v>SB3-006</x:v>
      </x:c>
      <x:c r="B14" s="10" t="str">
        <x:v>Sprint 3</x:v>
      </x:c>
      <x:c r="C14" s="10" t="str">
        <x:v>TA-014</x:v>
      </x:c>
      <x:c r="D14" s="10" t="str">
        <x:v>Capacitar administradores y usuarios clave para operar la plataforma.</x:v>
      </x:c>
      <x:c r="E14" s="10" t="str">
        <x:v>Felipe Chávez / Vicente Palma</x:v>
      </x:c>
      <x:c r="F14" s="10" t="str">
        <x:v>HU-045</x:v>
      </x:c>
      <x:c r="G14" s="10" t="str">
        <x:v>Material preparado; sesión realizada; dudas registradas; participantes capaces de ejecutar tareas principales.</x:v>
      </x:c>
      <x:c r="H14" s="11" t="str">
        <x:v>Pendiente</x:v>
      </x:c>
      <x:c r="I14" s="12" t="n">
        <x:v>3</x:v>
      </x:c>
      <x:c r="J14" s="12" t="n">
        <x:v>3</x:v>
      </x:c>
      <x:c r="K14" s="13" t="d">
        <x:v>2026-11-25T12:00:00.000Z</x:v>
      </x:c>
      <x:c r="L14" s="13"/>
      <x:c r="M14" s="11" t="str">
        <x:v>Por verificar</x:v>
      </x:c>
      <x:c r="N14" s="11" t="str">
        <x:v>Trabajo futuro planificado. Inicio sujeto a validación y dependencias.</x:v>
      </x:c>
      <x:c r="O14" s="11" t="str">
        <x:v>Pendiente de vincular evidencia de la tarea</x:v>
      </x:c>
      <x:c r="P14" s="11" t="str">
        <x:v>Pendiente</x:v>
      </x:c>
      <x:c r="Q14" s="12" t="str">
        <x:v>No</x:v>
      </x:c>
      <x:c r="R14" s="13" t="d">
        <x:v>2026-11-25T12:00:00.000Z</x:v>
      </x:c>
      <x:c r="S14" s="12" t="n">
        <x:f>I14-J14</x:f>
        <x:v>0</x:v>
      </x:c>
    </x:row>
    <x:row r="15" ht="38" customHeight="1">
      <x:c r="A15" s="6" t="str">
        <x:v>SB3-007</x:v>
      </x:c>
      <x:c r="B15" s="6" t="str">
        <x:v>Sprint 3</x:v>
      </x:c>
      <x:c r="C15" s="6" t="str">
        <x:v>TA-015</x:v>
      </x:c>
      <x:c r="D15" s="6" t="str">
        <x:v>Corregir observaciones prioritarias detectadas durante la aceptación de usuario.</x:v>
      </x:c>
      <x:c r="E15" s="6" t="str">
        <x:v>Vicente Palma / Alonso Urrutia / Franco Miranda</x:v>
      </x:c>
      <x:c r="F15" s="6" t="str">
        <x:v>HU-045</x:v>
      </x:c>
      <x:c r="G15" s="6" t="str">
        <x:v>Observaciones priorizadas; correcciones implementadas; regresión selectiva; cierre validado.</x:v>
      </x:c>
      <x:c r="H15" s="11" t="str">
        <x:v>Pendiente</x:v>
      </x:c>
      <x:c r="I15" s="12" t="n">
        <x:v>4.5</x:v>
      </x:c>
      <x:c r="J15" s="12" t="n">
        <x:v>4.5</x:v>
      </x:c>
      <x:c r="K15" s="13" t="d">
        <x:v>2026-11-27T12:00:00.000Z</x:v>
      </x:c>
      <x:c r="L15" s="13"/>
      <x:c r="M15" s="11" t="str">
        <x:v>Por verificar</x:v>
      </x:c>
      <x:c r="N15" s="11" t="str">
        <x:v>Trabajo futuro planificado. Inicio sujeto a validación y dependencias.</x:v>
      </x:c>
      <x:c r="O15" s="11" t="str">
        <x:v>Pendiente de vincular evidencia de la tarea</x:v>
      </x:c>
      <x:c r="P15" s="11" t="str">
        <x:v>Pendiente</x:v>
      </x:c>
      <x:c r="Q15" s="12" t="str">
        <x:v>No</x:v>
      </x:c>
      <x:c r="R15" s="13" t="d">
        <x:v>2026-11-27T12:00:00.000Z</x:v>
      </x:c>
      <x:c r="S15" s="12" t="n">
        <x:f>I15-J15</x:f>
        <x:v>0</x:v>
      </x:c>
    </x:row>
    <x:row r="16" ht="38" customHeight="1">
      <x:c r="A16" s="10" t="str">
        <x:v>SB3-008</x:v>
      </x:c>
      <x:c r="B16" s="10" t="str">
        <x:v>Sprint 3</x:v>
      </x:c>
      <x:c r="C16" s="10" t="str">
        <x:v>TA-016</x:v>
      </x:c>
      <x:c r="D16" s="10" t="str">
        <x:v>Desplegar la versión aceptada con respaldo y configuración del ambiente productivo.</x:v>
      </x:c>
      <x:c r="E16" s="10" t="str">
        <x:v>Alonso Urrutia</x:v>
      </x:c>
      <x:c r="F16" s="10" t="str">
        <x:v>TA-015</x:v>
      </x:c>
      <x:c r="G16" s="10" t="str">
        <x:v>Ambiente operativo; variables seguras; respaldo probado; verificación posterior al despliegue.</x:v>
      </x:c>
      <x:c r="H16" s="11" t="str">
        <x:v>Pendiente</x:v>
      </x:c>
      <x:c r="I16" s="12" t="n">
        <x:v>6.5</x:v>
      </x:c>
      <x:c r="J16" s="12" t="n">
        <x:v>6.5</x:v>
      </x:c>
      <x:c r="K16" s="13" t="d">
        <x:v>2026-12-02T12:00:00.000Z</x:v>
      </x:c>
      <x:c r="L16" s="13"/>
      <x:c r="M16" s="11" t="str">
        <x:v>Por verificar</x:v>
      </x:c>
      <x:c r="N16" s="11" t="str">
        <x:v>Trabajo futuro planificado. Inicio sujeto a validación y dependencias.</x:v>
      </x:c>
      <x:c r="O16" s="11" t="str">
        <x:v>Pendiente de vincular evidencia de la tarea</x:v>
      </x:c>
      <x:c r="P16" s="11" t="str">
        <x:v>Pendiente</x:v>
      </x:c>
      <x:c r="Q16" s="12" t="str">
        <x:v>No</x:v>
      </x:c>
      <x:c r="R16" s="13" t="d">
        <x:v>2026-12-01T12:00:00.000Z</x:v>
      </x:c>
      <x:c r="S16" s="12" t="n">
        <x:f>I16-J16</x:f>
        <x:v>0</x:v>
      </x:c>
    </x:row>
    <x:row r="17" ht="38" customHeight="1">
      <x:c r="A17" s="6" t="str">
        <x:v>SB3-009</x:v>
      </x:c>
      <x:c r="B17" s="6" t="str">
        <x:v>Sprint 3</x:v>
      </x:c>
      <x:c r="C17" s="6" t="str">
        <x:v>TA-017</x:v>
      </x:c>
      <x:c r="D17" s="6" t="str">
        <x:v>Entregar manuales de usuario, administración, arquitectura y despliegue.</x:v>
      </x:c>
      <x:c r="E17" s="6" t="str">
        <x:v>Felipe Chávez / Vicente Palma / Alonso Urrutia / Franco Miranda</x:v>
      </x:c>
      <x:c r="F17" s="6" t="str">
        <x:v>TA-015</x:v>
      </x:c>
      <x:c r="G17" s="6" t="str">
        <x:v>Manuales actualizados; procedimientos reproducibles; versiones identificadas; entrega confirmada.</x:v>
      </x:c>
      <x:c r="H17" s="11" t="str">
        <x:v>Pendiente</x:v>
      </x:c>
      <x:c r="I17" s="12" t="n">
        <x:v>4</x:v>
      </x:c>
      <x:c r="J17" s="12" t="n">
        <x:v>4</x:v>
      </x:c>
      <x:c r="K17" s="13" t="d">
        <x:v>2026-12-03T12:00:00.000Z</x:v>
      </x:c>
      <x:c r="L17" s="13"/>
      <x:c r="M17" s="11" t="str">
        <x:v>Por verificar</x:v>
      </x:c>
      <x:c r="N17" s="11" t="str">
        <x:v>Trabajo futuro planificado. Inicio sujeto a validación y dependencias.</x:v>
      </x:c>
      <x:c r="O17" s="11" t="str">
        <x:v>Pendiente de vincular evidencia de la tarea</x:v>
      </x:c>
      <x:c r="P17" s="11" t="str">
        <x:v>Pendiente</x:v>
      </x:c>
      <x:c r="Q17" s="12" t="str">
        <x:v>No</x:v>
      </x:c>
      <x:c r="R17" s="13" t="d">
        <x:v>2026-12-03T12:00:00.000Z</x:v>
      </x:c>
      <x:c r="S17" s="12" t="n">
        <x:f>I17-J17</x:f>
        <x:v>0</x:v>
      </x:c>
    </x:row>
    <x:row r="18" ht="38" customHeight="1">
      <x:c r="A18" s="10" t="str">
        <x:v>SB3-010</x:v>
      </x:c>
      <x:c r="B18" s="10" t="str">
        <x:v>Sprint 3</x:v>
      </x:c>
      <x:c r="C18" s="10" t="str">
        <x:v>TA-018</x:v>
      </x:c>
      <x:c r="D18" s="10" t="str">
        <x:v>Formalizar la aceptación, transferencia y soporte inicial del proyecto.</x:v>
      </x:c>
      <x:c r="E18" s="10" t="str">
        <x:v>Felipe Chávez</x:v>
      </x:c>
      <x:c r="F18" s="10" t="str">
        <x:v>TA-016, TA-017</x:v>
      </x:c>
      <x:c r="G18" s="10" t="str">
        <x:v>Acta de aceptación; accesos transferidos; soporte inicial acordado; pendientes y responsables registrados.</x:v>
      </x:c>
      <x:c r="H18" s="11" t="str">
        <x:v>Pendiente</x:v>
      </x:c>
      <x:c r="I18" s="12" t="n">
        <x:v>2.5</x:v>
      </x:c>
      <x:c r="J18" s="12" t="n">
        <x:v>2.5</x:v>
      </x:c>
      <x:c r="K18" s="13" t="d">
        <x:v>2026-12-07T12:00:00.000Z</x:v>
      </x:c>
      <x:c r="L18" s="13"/>
      <x:c r="M18" s="11" t="str">
        <x:v>Por verificar</x:v>
      </x:c>
      <x:c r="N18" s="11" t="str">
        <x:v>Trabajo futuro planificado. Inicio sujeto a validación y dependencias.</x:v>
      </x:c>
      <x:c r="O18" s="11" t="str">
        <x:v>Pendiente de vincular evidencia de la tarea</x:v>
      </x:c>
      <x:c r="P18" s="11" t="str">
        <x:v>Pendiente</x:v>
      </x:c>
      <x:c r="Q18" s="12" t="str">
        <x:v>No</x:v>
      </x:c>
      <x:c r="R18" s="13" t="d">
        <x:v>2026-12-07T12:00:00.000Z</x:v>
      </x:c>
      <x:c r="S18" s="12" t="n">
        <x:f>I18-J18</x:f>
        <x:v>0</x:v>
      </x:c>
    </x:row>
  </x:sheetData>
  <x:conditionalFormatting sqref="H9:H18">
    <x:cfRule type="containsText" dxfId="4" priority="1" operator="containsText" text="Terminado"/>
    <x:cfRule type="containsText" dxfId="5" priority="2" operator="containsText" text="Bloqueado"/>
  </x:conditionalFormatting>
  <x:dataValidations count="4">
    <x:dataValidation type="list" sqref="H9:H18">
      <x:formula1>"Por verificar,Pendiente,En progreso,Bloqueado,En revisión,Terminado"</x:formula1>
    </x:dataValidation>
    <x:dataValidation type="list" sqref="M9:M18">
      <x:formula1>"Sí,No,Parcial,Por verificar"</x:formula1>
    </x:dataValidation>
    <x:dataValidation type="list" sqref="P9:P18">
      <x:formula1>"Completado,En revisión,Propuesto para validación,Pendiente,Pendiente de verificación"</x:formula1>
    </x:dataValidation>
    <x:dataValidation type="list" sqref="Q9:Q18">
      <x:formula1>"Sí,No,Parcial,Por verificar"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5e4f5e0feb4d5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6" topLeftCell="A17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14"/>
      <x:c r="B1" s="14"/>
      <x:c r="C1" s="14"/>
      <x:c r="D1" s="14"/>
      <x:c r="E1" s="14"/>
      <x:c r="F1" s="14"/>
      <x:c r="G1" s="14"/>
      <x:c r="H1" s="14"/>
      <x:c r="I1" s="14"/>
    </x:row>
    <x:row r="2">
      <x:c r="A2" s="15" t="str">
        <x:v>Reconstrucción estimada de horas y fechas</x:v>
      </x:c>
      <x:c r="B2" s="14"/>
      <x:c r="C2" s="14"/>
      <x:c r="D2" s="14"/>
      <x:c r="E2" s="14"/>
      <x:c r="F2" s="14"/>
      <x:c r="G2" s="14"/>
      <x:c r="H2" s="14"/>
      <x:c r="I2" s="14"/>
    </x:row>
    <x:row r="3">
      <x:c r="A3" s="14" t="str">
        <x:v>Corte del avance</x:v>
      </x:c>
      <x:c r="B3" s="16" t="d">
        <x:v>2026-10-26T12:00:00.000Z</x:v>
      </x:c>
      <x:c r="C3" s="14"/>
      <x:c r="D3" s="14" t="str">
        <x:v>Horas diarias por integrante</x:v>
      </x:c>
      <x:c r="E3" s="14" t="n">
        <x:v>4</x:v>
      </x:c>
      <x:c r="F3" s="14"/>
      <x:c r="G3" s="14"/>
      <x:c r="H3" s="14"/>
      <x:c r="I3" s="14"/>
    </x:row>
    <x:row r="4">
      <x:c r="A4" s="14" t="str">
        <x:v>Supuestos: 4 integrantes, lunes a viernes, sin descontar feriados. Las horas son persona-horas agregadas.</x:v>
      </x:c>
      <x:c r="B4" s="14"/>
      <x:c r="C4" s="14"/>
      <x:c r="D4" s="14"/>
      <x:c r="E4" s="14"/>
      <x:c r="F4" s="14"/>
      <x:c r="G4" s="14"/>
      <x:c r="H4" s="14"/>
      <x:c r="I4" s="14"/>
    </x:row>
    <x:row r="5">
      <x:c r="A5" s="14" t="str">
        <x:v>Plan orientativo para reconstruir el avance. No sustituye registros de ejecución, aceptación ni evidencia de QA.</x:v>
      </x:c>
      <x:c r="B5" s="14"/>
      <x:c r="C5" s="14"/>
      <x:c r="D5" s="14"/>
      <x:c r="E5" s="14"/>
      <x:c r="F5" s="14"/>
      <x:c r="G5" s="14"/>
      <x:c r="H5" s="14"/>
      <x:c r="I5" s="14"/>
    </x:row>
    <x:row r="6">
      <x:c r="A6" s="14" t="str">
        <x:v>La capacidad no asignada incluye disponibilidad para coordinación, documentación, incidencias y otras actividades sin desglose.</x:v>
      </x:c>
      <x:c r="B6" s="14"/>
      <x:c r="C6" s="14"/>
      <x:c r="D6" s="14"/>
      <x:c r="E6" s="14"/>
      <x:c r="F6" s="14"/>
      <x:c r="G6" s="14"/>
      <x:c r="H6" s="14"/>
      <x:c r="I6" s="14"/>
    </x:row>
    <x:row r="8" ht="32" customHeight="1">
      <x:c r="A8" s="24" t="str">
        <x:v>Sprint</x:v>
      </x:c>
      <x:c r="B8" s="24" t="str">
        <x:v>Horas planificadas</x:v>
      </x:c>
      <x:c r="C8" s="24" t="str">
        <x:v>Realizadas estimadas al corte</x:v>
      </x:c>
      <x:c r="D8" s="24" t="str">
        <x:v>Horas restantes</x:v>
      </x:c>
      <x:c r="E8" s="24" t="str">
        <x:v>Capacidad del sprint</x:v>
      </x:c>
      <x:c r="F8" s="24" t="str">
        <x:v>Capacidad sin asignar</x:v>
      </x:c>
    </x:row>
    <x:row r="9">
      <x:c r="A9" s="25" t="str">
        <x:v>Sprint 1</x:v>
      </x:c>
      <x:c r="B9" s="26" t="n">
        <x:f>SUM('Sprint 1'!I9:I68)</x:f>
        <x:v>105</x:v>
      </x:c>
      <x:c r="C9" s="26" t="n">
        <x:f>SUM('Sprint 1'!S9:S68)</x:f>
        <x:v>105</x:v>
      </x:c>
      <x:c r="D9" s="26" t="n">
        <x:f>SUM('Sprint 1'!J9:J68)</x:f>
        <x:v>0</x:v>
      </x:c>
      <x:c r="E9" s="26" t="n">
        <x:f>COUNTIF(B17:B106,A9)*$E$3*4</x:f>
        <x:v>640</x:v>
      </x:c>
      <x:c r="F9" s="26" t="n">
        <x:f>E9-B9</x:f>
        <x:v>535</x:v>
      </x:c>
    </x:row>
    <x:row r="10">
      <x:c r="A10" s="25" t="str">
        <x:v>Sprint 2</x:v>
      </x:c>
      <x:c r="B10" s="26" t="n">
        <x:f>SUM('Sprint 2'!I9:I80)</x:f>
        <x:v>153.5</x:v>
      </x:c>
      <x:c r="C10" s="26" t="n">
        <x:f>SUM('Sprint 2'!S9:S80)</x:f>
        <x:v>97</x:v>
      </x:c>
      <x:c r="D10" s="26" t="n">
        <x:f>SUM('Sprint 2'!J9:J80)</x:f>
        <x:v>56.5</x:v>
      </x:c>
      <x:c r="E10" s="26" t="n">
        <x:f>COUNTIF(B17:B106,A10)*$E$3*4</x:f>
        <x:v>480</x:v>
      </x:c>
      <x:c r="F10" s="26" t="n">
        <x:f>E10-B10</x:f>
        <x:v>326.5</x:v>
      </x:c>
    </x:row>
    <x:row r="11">
      <x:c r="A11" s="25" t="str">
        <x:v>Sprint 3</x:v>
      </x:c>
      <x:c r="B11" s="26" t="n">
        <x:f>SUM('Sprint 3'!I9:I18)</x:f>
        <x:v>43</x:v>
      </x:c>
      <x:c r="C11" s="26" t="n">
        <x:f>SUM('Sprint 3'!S9:S18)</x:f>
        <x:v>0</x:v>
      </x:c>
      <x:c r="D11" s="26" t="n">
        <x:f>SUM('Sprint 3'!J9:J18)</x:f>
        <x:v>43</x:v>
      </x:c>
      <x:c r="E11" s="26" t="n">
        <x:f>COUNTIF(B17:B106,A11)*$E$3*4</x:f>
        <x:v>320</x:v>
      </x:c>
      <x:c r="F11" s="26" t="n">
        <x:f>E11-B11</x:f>
        <x:v>277</x:v>
      </x:c>
    </x:row>
    <x:row r="12">
      <x:c r="A12" s="27" t="str">
        <x:v>Total proyecto</x:v>
      </x:c>
      <x:c r="B12" s="28" t="n">
        <x:f>SUM(B9:B11)</x:f>
        <x:v>301.5</x:v>
      </x:c>
      <x:c r="C12" s="28" t="n">
        <x:f>SUM(C9:C11)</x:f>
        <x:v>202</x:v>
      </x:c>
      <x:c r="D12" s="28" t="n">
        <x:f>SUM(D9:D11)</x:f>
        <x:v>99.5</x:v>
      </x:c>
      <x:c r="E12" s="28" t="n">
        <x:f>SUM(E9:E11)</x:f>
        <x:v>1440</x:v>
      </x:c>
      <x:c r="F12" s="28" t="n">
        <x:f>SUM(F9:F11)</x:f>
        <x:v>1138.5</x:v>
      </x:c>
    </x:row>
    <x:row r="14">
      <x:c r="A14" t="str">
        <x:v>Carga diaria por integrante (plan reconstruido). Las fechas posteriores al corte son proyecciones.</x:v>
      </x:c>
    </x:row>
    <x:row r="16" ht="35" customHeight="1">
      <x:c r="A16" s="19" t="str">
        <x:v>Fecha</x:v>
      </x:c>
      <x:c r="B16" s="19" t="str">
        <x:v>Sprint</x:v>
      </x:c>
      <x:c r="C16" s="19" t="str">
        <x:v>Felipe Chávez</x:v>
      </x:c>
      <x:c r="D16" s="19" t="str">
        <x:v>Vicente Palma</x:v>
      </x:c>
      <x:c r="E16" s="19" t="str">
        <x:v>Alonso Urrutia</x:v>
      </x:c>
      <x:c r="F16" s="19" t="str">
        <x:v>Franco Miranda</x:v>
      </x:c>
      <x:c r="G16" s="19" t="str">
        <x:v>Horas asignadas</x:v>
      </x:c>
      <x:c r="H16" s="19" t="str">
        <x:v>Capacidad diaria</x:v>
      </x:c>
      <x:c r="I16" s="19" t="str">
        <x:v>Disponibilidad no asignada</x:v>
      </x:c>
    </x:row>
    <x:row r="17" ht="20" customHeight="1">
      <x:c r="A17" s="16" t="d">
        <x:v>2026-08-10T12:00:00.000Z</x:v>
      </x:c>
      <x:c r="B17" s="14" t="str">
        <x:v>Sprint 1</x:v>
      </x:c>
      <x:c r="C17" s="29" t="n">
        <x:v>1.5</x:v>
      </x:c>
      <x:c r="D17" s="29" t="n">
        <x:v>0</x:v>
      </x:c>
      <x:c r="E17" s="29" t="n">
        <x:v>0</x:v>
      </x:c>
      <x:c r="F17" s="29" t="n">
        <x:v>0</x:v>
      </x:c>
      <x:c r="G17" s="29" t="n">
        <x:f>SUM(C17:F17)</x:f>
        <x:v>1.5</x:v>
      </x:c>
      <x:c r="H17" s="29" t="n">
        <x:f>$E$3*4</x:f>
        <x:v>16</x:v>
      </x:c>
      <x:c r="I17" s="29" t="n">
        <x:f>H17-G17</x:f>
        <x:v>14.5</x:v>
      </x:c>
    </x:row>
    <x:row r="18" ht="20" customHeight="1">
      <x:c r="A18" s="16" t="d">
        <x:v>2026-08-11T12:00:00.000Z</x:v>
      </x:c>
      <x:c r="B18" s="14" t="str">
        <x:v>Sprint 1</x:v>
      </x:c>
      <x:c r="C18" s="29" t="n">
        <x:v>1</x:v>
      </x:c>
      <x:c r="D18" s="29" t="n">
        <x:v>0</x:v>
      </x:c>
      <x:c r="E18" s="29" t="n">
        <x:v>0</x:v>
      </x:c>
      <x:c r="F18" s="29" t="n">
        <x:v>0</x:v>
      </x:c>
      <x:c r="G18" s="29" t="n">
        <x:f>SUM(C18:F18)</x:f>
        <x:v>1</x:v>
      </x:c>
      <x:c r="H18" s="29" t="n">
        <x:f>$E$3*4</x:f>
        <x:v>16</x:v>
      </x:c>
      <x:c r="I18" s="29" t="n">
        <x:f>H18-G18</x:f>
        <x:v>15</x:v>
      </x:c>
    </x:row>
    <x:row r="19" ht="20" customHeight="1">
      <x:c r="A19" s="16" t="d">
        <x:v>2026-08-12T12:00:00.000Z</x:v>
      </x:c>
      <x:c r="B19" s="14" t="str">
        <x:v>Sprint 1</x:v>
      </x:c>
      <x:c r="C19" s="29" t="n">
        <x:v>2.5</x:v>
      </x:c>
      <x:c r="D19" s="29" t="n">
        <x:v>0</x:v>
      </x:c>
      <x:c r="E19" s="29" t="n">
        <x:v>0</x:v>
      </x:c>
      <x:c r="F19" s="29" t="n">
        <x:v>0</x:v>
      </x:c>
      <x:c r="G19" s="29" t="n">
        <x:f>SUM(C19:F19)</x:f>
        <x:v>2.5</x:v>
      </x:c>
      <x:c r="H19" s="29" t="n">
        <x:f>$E$3*4</x:f>
        <x:v>16</x:v>
      </x:c>
      <x:c r="I19" s="29" t="n">
        <x:f>H19-G19</x:f>
        <x:v>13.5</x:v>
      </x:c>
    </x:row>
    <x:row r="20" ht="20" customHeight="1">
      <x:c r="A20" s="16" t="d">
        <x:v>2026-08-13T12:00:00.000Z</x:v>
      </x:c>
      <x:c r="B20" s="14" t="str">
        <x:v>Sprint 1</x:v>
      </x:c>
      <x:c r="C20" s="29" t="n">
        <x:v>0</x:v>
      </x:c>
      <x:c r="D20" s="29" t="n">
        <x:v>0</x:v>
      </x:c>
      <x:c r="E20" s="29" t="n">
        <x:v>0</x:v>
      </x:c>
      <x:c r="F20" s="29" t="n">
        <x:v>0</x:v>
      </x:c>
      <x:c r="G20" s="29" t="n">
        <x:f>SUM(C20:F20)</x:f>
        <x:v>0</x:v>
      </x:c>
      <x:c r="H20" s="29" t="n">
        <x:f>$E$3*4</x:f>
        <x:v>16</x:v>
      </x:c>
      <x:c r="I20" s="29" t="n">
        <x:f>H20-G20</x:f>
        <x:v>16</x:v>
      </x:c>
    </x:row>
    <x:row r="21" ht="20" customHeight="1">
      <x:c r="A21" s="16" t="d">
        <x:v>2026-08-14T12:00:00.000Z</x:v>
      </x:c>
      <x:c r="B21" s="14" t="str">
        <x:v>Sprint 1</x:v>
      </x:c>
      <x:c r="C21" s="29" t="n">
        <x:v>1</x:v>
      </x:c>
      <x:c r="D21" s="29" t="n">
        <x:v>0</x:v>
      </x:c>
      <x:c r="E21" s="29" t="n">
        <x:v>0</x:v>
      </x:c>
      <x:c r="F21" s="29" t="n">
        <x:v>1</x:v>
      </x:c>
      <x:c r="G21" s="29" t="n">
        <x:f>SUM(C21:F21)</x:f>
        <x:v>2</x:v>
      </x:c>
      <x:c r="H21" s="29" t="n">
        <x:f>$E$3*4</x:f>
        <x:v>16</x:v>
      </x:c>
      <x:c r="I21" s="29" t="n">
        <x:f>H21-G21</x:f>
        <x:v>14</x:v>
      </x:c>
    </x:row>
    <x:row r="22" ht="20" customHeight="1">
      <x:c r="A22" s="16" t="d">
        <x:v>2026-08-17T12:00:00.000Z</x:v>
      </x:c>
      <x:c r="B22" s="14" t="str">
        <x:v>Sprint 1</x:v>
      </x:c>
      <x:c r="C22" s="29" t="n">
        <x:v>0</x:v>
      </x:c>
      <x:c r="D22" s="29" t="n">
        <x:v>0</x:v>
      </x:c>
      <x:c r="E22" s="29" t="n">
        <x:v>2.5</x:v>
      </x:c>
      <x:c r="F22" s="29" t="n">
        <x:v>0</x:v>
      </x:c>
      <x:c r="G22" s="29" t="n">
        <x:f>SUM(C22:F22)</x:f>
        <x:v>2.5</x:v>
      </x:c>
      <x:c r="H22" s="29" t="n">
        <x:f>$E$3*4</x:f>
        <x:v>16</x:v>
      </x:c>
      <x:c r="I22" s="29" t="n">
        <x:f>H22-G22</x:f>
        <x:v>13.5</x:v>
      </x:c>
    </x:row>
    <x:row r="23" ht="20" customHeight="1">
      <x:c r="A23" s="16" t="d">
        <x:v>2026-08-18T12:00:00.000Z</x:v>
      </x:c>
      <x:c r="B23" s="14" t="str">
        <x:v>Sprint 1</x:v>
      </x:c>
      <x:c r="C23" s="29" t="n">
        <x:v>0</x:v>
      </x:c>
      <x:c r="D23" s="29" t="n">
        <x:v>0</x:v>
      </x:c>
      <x:c r="E23" s="29" t="n">
        <x:v>2.5</x:v>
      </x:c>
      <x:c r="F23" s="29" t="n">
        <x:v>0</x:v>
      </x:c>
      <x:c r="G23" s="29" t="n">
        <x:f>SUM(C23:F23)</x:f>
        <x:v>2.5</x:v>
      </x:c>
      <x:c r="H23" s="29" t="n">
        <x:f>$E$3*4</x:f>
        <x:v>16</x:v>
      </x:c>
      <x:c r="I23" s="29" t="n">
        <x:f>H23-G23</x:f>
        <x:v>13.5</x:v>
      </x:c>
    </x:row>
    <x:row r="24" ht="20" customHeight="1">
      <x:c r="A24" s="16" t="d">
        <x:v>2026-08-19T12:00:00.000Z</x:v>
      </x:c>
      <x:c r="B24" s="14" t="str">
        <x:v>Sprint 1</x:v>
      </x:c>
      <x:c r="C24" s="29" t="n">
        <x:v>0</x:v>
      </x:c>
      <x:c r="D24" s="29" t="n">
        <x:v>0</x:v>
      </x:c>
      <x:c r="E24" s="29" t="n">
        <x:v>0</x:v>
      </x:c>
      <x:c r="F24" s="29" t="n">
        <x:v>0</x:v>
      </x:c>
      <x:c r="G24" s="29" t="n">
        <x:f>SUM(C24:F24)</x:f>
        <x:v>0</x:v>
      </x:c>
      <x:c r="H24" s="29" t="n">
        <x:f>$E$3*4</x:f>
        <x:v>16</x:v>
      </x:c>
      <x:c r="I24" s="29" t="n">
        <x:f>H24-G24</x:f>
        <x:v>16</x:v>
      </x:c>
    </x:row>
    <x:row r="25" ht="20" customHeight="1">
      <x:c r="A25" s="16" t="d">
        <x:v>2026-08-20T12:00:00.000Z</x:v>
      </x:c>
      <x:c r="B25" s="14" t="str">
        <x:v>Sprint 1</x:v>
      </x:c>
      <x:c r="C25" s="29" t="n">
        <x:v>0</x:v>
      </x:c>
      <x:c r="D25" s="29" t="n">
        <x:v>1</x:v>
      </x:c>
      <x:c r="E25" s="29" t="n">
        <x:v>2.5</x:v>
      </x:c>
      <x:c r="F25" s="29" t="n">
        <x:v>0.5</x:v>
      </x:c>
      <x:c r="G25" s="29" t="n">
        <x:f>SUM(C25:F25)</x:f>
        <x:v>4</x:v>
      </x:c>
      <x:c r="H25" s="29" t="n">
        <x:f>$E$3*4</x:f>
        <x:v>16</x:v>
      </x:c>
      <x:c r="I25" s="29" t="n">
        <x:f>H25-G25</x:f>
        <x:v>12</x:v>
      </x:c>
    </x:row>
    <x:row r="26" ht="20" customHeight="1">
      <x:c r="A26" s="16" t="d">
        <x:v>2026-08-21T12:00:00.000Z</x:v>
      </x:c>
      <x:c r="B26" s="14" t="str">
        <x:v>Sprint 1</x:v>
      </x:c>
      <x:c r="C26" s="29" t="n">
        <x:v>0</x:v>
      </x:c>
      <x:c r="D26" s="29" t="n">
        <x:v>1</x:v>
      </x:c>
      <x:c r="E26" s="29" t="n">
        <x:v>2.5</x:v>
      </x:c>
      <x:c r="F26" s="29" t="n">
        <x:v>1</x:v>
      </x:c>
      <x:c r="G26" s="29" t="n">
        <x:f>SUM(C26:F26)</x:f>
        <x:v>4.5</x:v>
      </x:c>
      <x:c r="H26" s="29" t="n">
        <x:f>$E$3*4</x:f>
        <x:v>16</x:v>
      </x:c>
      <x:c r="I26" s="29" t="n">
        <x:f>H26-G26</x:f>
        <x:v>11.5</x:v>
      </x:c>
    </x:row>
    <x:row r="27" ht="20" customHeight="1">
      <x:c r="A27" s="16" t="d">
        <x:v>2026-08-24T12:00:00.000Z</x:v>
      </x:c>
      <x:c r="B27" s="14" t="str">
        <x:v>Sprint 1</x:v>
      </x:c>
      <x:c r="C27" s="29" t="n">
        <x:v>0</x:v>
      </x:c>
      <x:c r="D27" s="29" t="n">
        <x:v>1</x:v>
      </x:c>
      <x:c r="E27" s="29" t="n">
        <x:v>1.5</x:v>
      </x:c>
      <x:c r="F27" s="29" t="n">
        <x:v>1.5</x:v>
      </x:c>
      <x:c r="G27" s="29" t="n">
        <x:f>SUM(C27:F27)</x:f>
        <x:v>4</x:v>
      </x:c>
      <x:c r="H27" s="29" t="n">
        <x:f>$E$3*4</x:f>
        <x:v>16</x:v>
      </x:c>
      <x:c r="I27" s="29" t="n">
        <x:f>H27-G27</x:f>
        <x:v>12</x:v>
      </x:c>
    </x:row>
    <x:row r="28" ht="20" customHeight="1">
      <x:c r="A28" s="16" t="d">
        <x:v>2026-08-25T12:00:00.000Z</x:v>
      </x:c>
      <x:c r="B28" s="14" t="str">
        <x:v>Sprint 1</x:v>
      </x:c>
      <x:c r="C28" s="29" t="n">
        <x:v>0</x:v>
      </x:c>
      <x:c r="D28" s="29" t="n">
        <x:v>0</x:v>
      </x:c>
      <x:c r="E28" s="29" t="n">
        <x:v>0</x:v>
      </x:c>
      <x:c r="F28" s="29" t="n">
        <x:v>0</x:v>
      </x:c>
      <x:c r="G28" s="29" t="n">
        <x:f>SUM(C28:F28)</x:f>
        <x:v>0</x:v>
      </x:c>
      <x:c r="H28" s="29" t="n">
        <x:f>$E$3*4</x:f>
        <x:v>16</x:v>
      </x:c>
      <x:c r="I28" s="29" t="n">
        <x:f>H28-G28</x:f>
        <x:v>16</x:v>
      </x:c>
    </x:row>
    <x:row r="29" ht="20" customHeight="1">
      <x:c r="A29" s="16" t="d">
        <x:v>2026-08-26T12:00:00.000Z</x:v>
      </x:c>
      <x:c r="B29" s="14" t="str">
        <x:v>Sprint 1</x:v>
      </x:c>
      <x:c r="C29" s="29" t="n">
        <x:v>0</x:v>
      </x:c>
      <x:c r="D29" s="29" t="n">
        <x:v>0</x:v>
      </x:c>
      <x:c r="E29" s="29" t="n">
        <x:v>2.5</x:v>
      </x:c>
      <x:c r="F29" s="29" t="n">
        <x:v>1</x:v>
      </x:c>
      <x:c r="G29" s="29" t="n">
        <x:f>SUM(C29:F29)</x:f>
        <x:v>3.5</x:v>
      </x:c>
      <x:c r="H29" s="29" t="n">
        <x:f>$E$3*4</x:f>
        <x:v>16</x:v>
      </x:c>
      <x:c r="I29" s="29" t="n">
        <x:f>H29-G29</x:f>
        <x:v>12.5</x:v>
      </x:c>
    </x:row>
    <x:row r="30" ht="20" customHeight="1">
      <x:c r="A30" s="16" t="d">
        <x:v>2026-08-27T12:00:00.000Z</x:v>
      </x:c>
      <x:c r="B30" s="14" t="str">
        <x:v>Sprint 1</x:v>
      </x:c>
      <x:c r="C30" s="29" t="n">
        <x:v>0</x:v>
      </x:c>
      <x:c r="D30" s="29" t="n">
        <x:v>1</x:v>
      </x:c>
      <x:c r="E30" s="29" t="n">
        <x:v>1.5</x:v>
      </x:c>
      <x:c r="F30" s="29" t="n">
        <x:v>1</x:v>
      </x:c>
      <x:c r="G30" s="29" t="n">
        <x:f>SUM(C30:F30)</x:f>
        <x:v>3.5</x:v>
      </x:c>
      <x:c r="H30" s="29" t="n">
        <x:f>$E$3*4</x:f>
        <x:v>16</x:v>
      </x:c>
      <x:c r="I30" s="29" t="n">
        <x:f>H30-G30</x:f>
        <x:v>12.5</x:v>
      </x:c>
    </x:row>
    <x:row r="31" ht="20" customHeight="1">
      <x:c r="A31" s="16" t="d">
        <x:v>2026-08-28T12:00:00.000Z</x:v>
      </x:c>
      <x:c r="B31" s="14" t="str">
        <x:v>Sprint 1</x:v>
      </x:c>
      <x:c r="C31" s="29" t="n">
        <x:v>0</x:v>
      </x:c>
      <x:c r="D31" s="29" t="n">
        <x:v>1.5</x:v>
      </x:c>
      <x:c r="E31" s="29" t="n">
        <x:v>2.5</x:v>
      </x:c>
      <x:c r="F31" s="29" t="n">
        <x:v>0</x:v>
      </x:c>
      <x:c r="G31" s="29" t="n">
        <x:f>SUM(C31:F31)</x:f>
        <x:v>4</x:v>
      </x:c>
      <x:c r="H31" s="29" t="n">
        <x:f>$E$3*4</x:f>
        <x:v>16</x:v>
      </x:c>
      <x:c r="I31" s="29" t="n">
        <x:f>H31-G31</x:f>
        <x:v>12</x:v>
      </x:c>
    </x:row>
    <x:row r="32" ht="20" customHeight="1">
      <x:c r="A32" s="16" t="d">
        <x:v>2026-08-31T12:00:00.000Z</x:v>
      </x:c>
      <x:c r="B32" s="14" t="str">
        <x:v>Sprint 1</x:v>
      </x:c>
      <x:c r="C32" s="29" t="n">
        <x:v>0</x:v>
      </x:c>
      <x:c r="D32" s="29" t="n">
        <x:v>0</x:v>
      </x:c>
      <x:c r="E32" s="29" t="n">
        <x:v>1.5</x:v>
      </x:c>
      <x:c r="F32" s="29" t="n">
        <x:v>1.5</x:v>
      </x:c>
      <x:c r="G32" s="29" t="n">
        <x:f>SUM(C32:F32)</x:f>
        <x:v>3</x:v>
      </x:c>
      <x:c r="H32" s="29" t="n">
        <x:f>$E$3*4</x:f>
        <x:v>16</x:v>
      </x:c>
      <x:c r="I32" s="29" t="n">
        <x:f>H32-G32</x:f>
        <x:v>13</x:v>
      </x:c>
    </x:row>
    <x:row r="33" ht="20" customHeight="1">
      <x:c r="A33" s="16" t="d">
        <x:v>2026-09-01T12:00:00.000Z</x:v>
      </x:c>
      <x:c r="B33" s="14" t="str">
        <x:v>Sprint 1</x:v>
      </x:c>
      <x:c r="C33" s="29" t="n">
        <x:v>0</x:v>
      </x:c>
      <x:c r="D33" s="29" t="n">
        <x:v>1</x:v>
      </x:c>
      <x:c r="E33" s="29" t="n">
        <x:v>2.5</x:v>
      </x:c>
      <x:c r="F33" s="29" t="n">
        <x:v>0.5</x:v>
      </x:c>
      <x:c r="G33" s="29" t="n">
        <x:f>SUM(C33:F33)</x:f>
        <x:v>4</x:v>
      </x:c>
      <x:c r="H33" s="29" t="n">
        <x:f>$E$3*4</x:f>
        <x:v>16</x:v>
      </x:c>
      <x:c r="I33" s="29" t="n">
        <x:f>H33-G33</x:f>
        <x:v>12</x:v>
      </x:c>
    </x:row>
    <x:row r="34" ht="20" customHeight="1">
      <x:c r="A34" s="16" t="d">
        <x:v>2026-09-02T12:00:00.000Z</x:v>
      </x:c>
      <x:c r="B34" s="14" t="str">
        <x:v>Sprint 1</x:v>
      </x:c>
      <x:c r="C34" s="29" t="n">
        <x:v>0</x:v>
      </x:c>
      <x:c r="D34" s="29" t="n">
        <x:v>1.5</x:v>
      </x:c>
      <x:c r="E34" s="29" t="n">
        <x:v>2.5</x:v>
      </x:c>
      <x:c r="F34" s="29" t="n">
        <x:v>0.5</x:v>
      </x:c>
      <x:c r="G34" s="29" t="n">
        <x:f>SUM(C34:F34)</x:f>
        <x:v>4.5</x:v>
      </x:c>
      <x:c r="H34" s="29" t="n">
        <x:f>$E$3*4</x:f>
        <x:v>16</x:v>
      </x:c>
      <x:c r="I34" s="29" t="n">
        <x:f>H34-G34</x:f>
        <x:v>11.5</x:v>
      </x:c>
    </x:row>
    <x:row r="35" ht="20" customHeight="1">
      <x:c r="A35" s="16" t="d">
        <x:v>2026-09-03T12:00:00.000Z</x:v>
      </x:c>
      <x:c r="B35" s="14" t="str">
        <x:v>Sprint 1</x:v>
      </x:c>
      <x:c r="C35" s="29" t="n">
        <x:v>0</x:v>
      </x:c>
      <x:c r="D35" s="29" t="n">
        <x:v>1</x:v>
      </x:c>
      <x:c r="E35" s="29" t="n">
        <x:v>1.5</x:v>
      </x:c>
      <x:c r="F35" s="29" t="n">
        <x:v>1.5</x:v>
      </x:c>
      <x:c r="G35" s="29" t="n">
        <x:f>SUM(C35:F35)</x:f>
        <x:v>4</x:v>
      </x:c>
      <x:c r="H35" s="29" t="n">
        <x:f>$E$3*4</x:f>
        <x:v>16</x:v>
      </x:c>
      <x:c r="I35" s="29" t="n">
        <x:f>H35-G35</x:f>
        <x:v>12</x:v>
      </x:c>
    </x:row>
    <x:row r="36" ht="20" customHeight="1">
      <x:c r="A36" s="16" t="d">
        <x:v>2026-09-04T12:00:00.000Z</x:v>
      </x:c>
      <x:c r="B36" s="14" t="str">
        <x:v>Sprint 1</x:v>
      </x:c>
      <x:c r="C36" s="29" t="n">
        <x:v>0</x:v>
      </x:c>
      <x:c r="D36" s="29" t="n">
        <x:v>0</x:v>
      </x:c>
      <x:c r="E36" s="29" t="n">
        <x:v>2.5</x:v>
      </x:c>
      <x:c r="F36" s="29" t="n">
        <x:v>1</x:v>
      </x:c>
      <x:c r="G36" s="29" t="n">
        <x:f>SUM(C36:F36)</x:f>
        <x:v>3.5</x:v>
      </x:c>
      <x:c r="H36" s="29" t="n">
        <x:f>$E$3*4</x:f>
        <x:v>16</x:v>
      </x:c>
      <x:c r="I36" s="29" t="n">
        <x:f>H36-G36</x:f>
        <x:v>12.5</x:v>
      </x:c>
    </x:row>
    <x:row r="37" ht="20" customHeight="1">
      <x:c r="A37" s="16" t="d">
        <x:v>2026-09-07T12:00:00.000Z</x:v>
      </x:c>
      <x:c r="B37" s="14" t="str">
        <x:v>Sprint 1</x:v>
      </x:c>
      <x:c r="C37" s="29" t="n">
        <x:v>0</x:v>
      </x:c>
      <x:c r="D37" s="29" t="n">
        <x:v>1</x:v>
      </x:c>
      <x:c r="E37" s="29" t="n">
        <x:v>2.5</x:v>
      </x:c>
      <x:c r="F37" s="29" t="n">
        <x:v>0.5</x:v>
      </x:c>
      <x:c r="G37" s="29" t="n">
        <x:f>SUM(C37:F37)</x:f>
        <x:v>4</x:v>
      </x:c>
      <x:c r="H37" s="29" t="n">
        <x:f>$E$3*4</x:f>
        <x:v>16</x:v>
      </x:c>
      <x:c r="I37" s="29" t="n">
        <x:f>H37-G37</x:f>
        <x:v>12</x:v>
      </x:c>
    </x:row>
    <x:row r="38" ht="20" customHeight="1">
      <x:c r="A38" s="16" t="d">
        <x:v>2026-09-08T12:00:00.000Z</x:v>
      </x:c>
      <x:c r="B38" s="14" t="str">
        <x:v>Sprint 1</x:v>
      </x:c>
      <x:c r="C38" s="29" t="n">
        <x:v>0</x:v>
      </x:c>
      <x:c r="D38" s="29" t="n">
        <x:v>1</x:v>
      </x:c>
      <x:c r="E38" s="29" t="n">
        <x:v>2.5</x:v>
      </x:c>
      <x:c r="F38" s="29" t="n">
        <x:v>0.5</x:v>
      </x:c>
      <x:c r="G38" s="29" t="n">
        <x:f>SUM(C38:F38)</x:f>
        <x:v>4</x:v>
      </x:c>
      <x:c r="H38" s="29" t="n">
        <x:f>$E$3*4</x:f>
        <x:v>16</x:v>
      </x:c>
      <x:c r="I38" s="29" t="n">
        <x:f>H38-G38</x:f>
        <x:v>12</x:v>
      </x:c>
    </x:row>
    <x:row r="39" ht="20" customHeight="1">
      <x:c r="A39" s="16" t="d">
        <x:v>2026-09-09T12:00:00.000Z</x:v>
      </x:c>
      <x:c r="B39" s="14" t="str">
        <x:v>Sprint 1</x:v>
      </x:c>
      <x:c r="C39" s="29" t="n">
        <x:v>0</x:v>
      </x:c>
      <x:c r="D39" s="29" t="n">
        <x:v>0</x:v>
      </x:c>
      <x:c r="E39" s="29" t="n">
        <x:v>2.5</x:v>
      </x:c>
      <x:c r="F39" s="29" t="n">
        <x:v>1.5</x:v>
      </x:c>
      <x:c r="G39" s="29" t="n">
        <x:f>SUM(C39:F39)</x:f>
        <x:v>4</x:v>
      </x:c>
      <x:c r="H39" s="29" t="n">
        <x:f>$E$3*4</x:f>
        <x:v>16</x:v>
      </x:c>
      <x:c r="I39" s="29" t="n">
        <x:f>H39-G39</x:f>
        <x:v>12</x:v>
      </x:c>
    </x:row>
    <x:row r="40" ht="20" customHeight="1">
      <x:c r="A40" s="16" t="d">
        <x:v>2026-09-10T12:00:00.000Z</x:v>
      </x:c>
      <x:c r="B40" s="14" t="str">
        <x:v>Sprint 1</x:v>
      </x:c>
      <x:c r="C40" s="29" t="n">
        <x:v>0</x:v>
      </x:c>
      <x:c r="D40" s="29" t="n">
        <x:v>0</x:v>
      </x:c>
      <x:c r="E40" s="29" t="n">
        <x:v>0</x:v>
      </x:c>
      <x:c r="F40" s="29" t="n">
        <x:v>0.5</x:v>
      </x:c>
      <x:c r="G40" s="29" t="n">
        <x:f>SUM(C40:F40)</x:f>
        <x:v>0.5</x:v>
      </x:c>
      <x:c r="H40" s="29" t="n">
        <x:f>$E$3*4</x:f>
        <x:v>16</x:v>
      </x:c>
      <x:c r="I40" s="29" t="n">
        <x:f>H40-G40</x:f>
        <x:v>15.5</x:v>
      </x:c>
    </x:row>
    <x:row r="41" ht="20" customHeight="1">
      <x:c r="A41" s="16" t="d">
        <x:v>2026-09-11T12:00:00.000Z</x:v>
      </x:c>
      <x:c r="B41" s="14" t="str">
        <x:v>Sprint 1</x:v>
      </x:c>
      <x:c r="C41" s="29" t="n">
        <x:v>0</x:v>
      </x:c>
      <x:c r="D41" s="29" t="n">
        <x:v>1.5</x:v>
      </x:c>
      <x:c r="E41" s="29" t="n">
        <x:v>2.5</x:v>
      </x:c>
      <x:c r="F41" s="29" t="n">
        <x:v>0</x:v>
      </x:c>
      <x:c r="G41" s="29" t="n">
        <x:f>SUM(C41:F41)</x:f>
        <x:v>4</x:v>
      </x:c>
      <x:c r="H41" s="29" t="n">
        <x:f>$E$3*4</x:f>
        <x:v>16</x:v>
      </x:c>
      <x:c r="I41" s="29" t="n">
        <x:f>H41-G41</x:f>
        <x:v>12</x:v>
      </x:c>
    </x:row>
    <x:row r="42" ht="20" customHeight="1">
      <x:c r="A42" s="16" t="d">
        <x:v>2026-09-14T12:00:00.000Z</x:v>
      </x:c>
      <x:c r="B42" s="14" t="str">
        <x:v>Sprint 1</x:v>
      </x:c>
      <x:c r="C42" s="29" t="n">
        <x:v>0</x:v>
      </x:c>
      <x:c r="D42" s="29" t="n">
        <x:v>1</x:v>
      </x:c>
      <x:c r="E42" s="29" t="n">
        <x:v>1.5</x:v>
      </x:c>
      <x:c r="F42" s="29" t="n">
        <x:v>1.5</x:v>
      </x:c>
      <x:c r="G42" s="29" t="n">
        <x:f>SUM(C42:F42)</x:f>
        <x:v>4</x:v>
      </x:c>
      <x:c r="H42" s="29" t="n">
        <x:f>$E$3*4</x:f>
        <x:v>16</x:v>
      </x:c>
      <x:c r="I42" s="29" t="n">
        <x:f>H42-G42</x:f>
        <x:v>12</x:v>
      </x:c>
    </x:row>
    <x:row r="43" ht="20" customHeight="1">
      <x:c r="A43" s="16" t="d">
        <x:v>2026-09-15T12:00:00.000Z</x:v>
      </x:c>
      <x:c r="B43" s="14" t="str">
        <x:v>Sprint 1</x:v>
      </x:c>
      <x:c r="C43" s="29" t="n">
        <x:v>0</x:v>
      </x:c>
      <x:c r="D43" s="29" t="n">
        <x:v>1.5</x:v>
      </x:c>
      <x:c r="E43" s="29" t="n">
        <x:v>4</x:v>
      </x:c>
      <x:c r="F43" s="29" t="n">
        <x:v>1</x:v>
      </x:c>
      <x:c r="G43" s="29" t="n">
        <x:f>SUM(C43:F43)</x:f>
        <x:v>6.5</x:v>
      </x:c>
      <x:c r="H43" s="29" t="n">
        <x:f>$E$3*4</x:f>
        <x:v>16</x:v>
      </x:c>
      <x:c r="I43" s="29" t="n">
        <x:f>H43-G43</x:f>
        <x:v>9.5</x:v>
      </x:c>
    </x:row>
    <x:row r="44" ht="20" customHeight="1">
      <x:c r="A44" s="16" t="d">
        <x:v>2026-09-16T12:00:00.000Z</x:v>
      </x:c>
      <x:c r="B44" s="14" t="str">
        <x:v>Sprint 1</x:v>
      </x:c>
      <x:c r="C44" s="29" t="n">
        <x:v>0</x:v>
      </x:c>
      <x:c r="D44" s="29" t="n">
        <x:v>0</x:v>
      </x:c>
      <x:c r="E44" s="29" t="n">
        <x:v>2.5</x:v>
      </x:c>
      <x:c r="F44" s="29" t="n">
        <x:v>1.5</x:v>
      </x:c>
      <x:c r="G44" s="29" t="n">
        <x:f>SUM(C44:F44)</x:f>
        <x:v>4</x:v>
      </x:c>
      <x:c r="H44" s="29" t="n">
        <x:f>$E$3*4</x:f>
        <x:v>16</x:v>
      </x:c>
      <x:c r="I44" s="29" t="n">
        <x:f>H44-G44</x:f>
        <x:v>12</x:v>
      </x:c>
    </x:row>
    <x:row r="45" ht="20" customHeight="1">
      <x:c r="A45" s="16" t="d">
        <x:v>2026-09-17T12:00:00.000Z</x:v>
      </x:c>
      <x:c r="B45" s="14" t="str">
        <x:v>Sprint 1</x:v>
      </x:c>
      <x:c r="C45" s="29" t="n">
        <x:v>0</x:v>
      </x:c>
      <x:c r="D45" s="29" t="n">
        <x:v>1.5</x:v>
      </x:c>
      <x:c r="E45" s="29" t="n">
        <x:v>2.5</x:v>
      </x:c>
      <x:c r="F45" s="29" t="n">
        <x:v>0</x:v>
      </x:c>
      <x:c r="G45" s="29" t="n">
        <x:f>SUM(C45:F45)</x:f>
        <x:v>4</x:v>
      </x:c>
      <x:c r="H45" s="29" t="n">
        <x:f>$E$3*4</x:f>
        <x:v>16</x:v>
      </x:c>
      <x:c r="I45" s="29" t="n">
        <x:f>H45-G45</x:f>
        <x:v>12</x:v>
      </x:c>
    </x:row>
    <x:row r="46" ht="20" customHeight="1">
      <x:c r="A46" s="16" t="d">
        <x:v>2026-09-18T12:00:00.000Z</x:v>
      </x:c>
      <x:c r="B46" s="14" t="str">
        <x:v>Sprint 1</x:v>
      </x:c>
      <x:c r="C46" s="29" t="n">
        <x:v>0</x:v>
      </x:c>
      <x:c r="D46" s="29" t="n">
        <x:v>0</x:v>
      </x:c>
      <x:c r="E46" s="29" t="n">
        <x:v>4</x:v>
      </x:c>
      <x:c r="F46" s="29" t="n">
        <x:v>1.5</x:v>
      </x:c>
      <x:c r="G46" s="29" t="n">
        <x:f>SUM(C46:F46)</x:f>
        <x:v>5.5</x:v>
      </x:c>
      <x:c r="H46" s="29" t="n">
        <x:f>$E$3*4</x:f>
        <x:v>16</x:v>
      </x:c>
      <x:c r="I46" s="29" t="n">
        <x:f>H46-G46</x:f>
        <x:v>10.5</x:v>
      </x:c>
    </x:row>
    <x:row r="47" ht="20" customHeight="1">
      <x:c r="A47" s="16" t="d">
        <x:v>2026-09-21T12:00:00.000Z</x:v>
      </x:c>
      <x:c r="B47" s="14" t="str">
        <x:v>Sprint 1</x:v>
      </x:c>
      <x:c r="C47" s="29" t="n">
        <x:v>0</x:v>
      </x:c>
      <x:c r="D47" s="29" t="n">
        <x:v>1</x:v>
      </x:c>
      <x:c r="E47" s="29" t="n">
        <x:v>2.5</x:v>
      </x:c>
      <x:c r="F47" s="29" t="n">
        <x:v>1.5</x:v>
      </x:c>
      <x:c r="G47" s="29" t="n">
        <x:f>SUM(C47:F47)</x:f>
        <x:v>5</x:v>
      </x:c>
      <x:c r="H47" s="29" t="n">
        <x:f>$E$3*4</x:f>
        <x:v>16</x:v>
      </x:c>
      <x:c r="I47" s="29" t="n">
        <x:f>H47-G47</x:f>
        <x:v>11</x:v>
      </x:c>
    </x:row>
    <x:row r="48" ht="20" customHeight="1">
      <x:c r="A48" s="16" t="d">
        <x:v>2026-09-22T12:00:00.000Z</x:v>
      </x:c>
      <x:c r="B48" s="14" t="str">
        <x:v>Sprint 1</x:v>
      </x:c>
      <x:c r="C48" s="29" t="n">
        <x:v>0</x:v>
      </x:c>
      <x:c r="D48" s="29" t="n">
        <x:v>0</x:v>
      </x:c>
      <x:c r="E48" s="29" t="n">
        <x:v>0</x:v>
      </x:c>
      <x:c r="F48" s="29" t="n">
        <x:v>0.5</x:v>
      </x:c>
      <x:c r="G48" s="29" t="n">
        <x:f>SUM(C48:F48)</x:f>
        <x:v>0.5</x:v>
      </x:c>
      <x:c r="H48" s="29" t="n">
        <x:f>$E$3*4</x:f>
        <x:v>16</x:v>
      </x:c>
      <x:c r="I48" s="29" t="n">
        <x:f>H48-G48</x:f>
        <x:v>15.5</x:v>
      </x:c>
    </x:row>
    <x:row r="49" ht="20" customHeight="1">
      <x:c r="A49" s="16" t="d">
        <x:v>2026-09-23T12:00:00.000Z</x:v>
      </x:c>
      <x:c r="B49" s="14" t="str">
        <x:v>Sprint 1</x:v>
      </x:c>
      <x:c r="C49" s="29" t="n">
        <x:v>0</x:v>
      </x:c>
      <x:c r="D49" s="29" t="n">
        <x:v>1</x:v>
      </x:c>
      <x:c r="E49" s="29" t="n">
        <x:v>2.5</x:v>
      </x:c>
      <x:c r="F49" s="29" t="n">
        <x:v>0.5</x:v>
      </x:c>
      <x:c r="G49" s="29" t="n">
        <x:f>SUM(C49:F49)</x:f>
        <x:v>4</x:v>
      </x:c>
      <x:c r="H49" s="29" t="n">
        <x:f>$E$3*4</x:f>
        <x:v>16</x:v>
      </x:c>
      <x:c r="I49" s="29" t="n">
        <x:f>H49-G49</x:f>
        <x:v>12</x:v>
      </x:c>
    </x:row>
    <x:row r="50" ht="20" customHeight="1">
      <x:c r="A50" s="16" t="d">
        <x:v>2026-09-24T12:00:00.000Z</x:v>
      </x:c>
      <x:c r="B50" s="14" t="str">
        <x:v>Sprint 1</x:v>
      </x:c>
      <x:c r="C50" s="29" t="n">
        <x:v>0</x:v>
      </x:c>
      <x:c r="D50" s="29" t="n">
        <x:v>0</x:v>
      </x:c>
      <x:c r="E50" s="29" t="n">
        <x:v>0</x:v>
      </x:c>
      <x:c r="F50" s="29" t="n">
        <x:v>0.5</x:v>
      </x:c>
      <x:c r="G50" s="29" t="n">
        <x:f>SUM(C50:F50)</x:f>
        <x:v>0.5</x:v>
      </x:c>
      <x:c r="H50" s="29" t="n">
        <x:f>$E$3*4</x:f>
        <x:v>16</x:v>
      </x:c>
      <x:c r="I50" s="29" t="n">
        <x:f>H50-G50</x:f>
        <x:v>15.5</x:v>
      </x:c>
    </x:row>
    <x:row r="51" ht="20" customHeight="1">
      <x:c r="A51" s="16" t="d">
        <x:v>2026-09-25T12:00:00.000Z</x:v>
      </x:c>
      <x:c r="B51" s="14" t="str">
        <x:v>Sprint 1</x:v>
      </x:c>
      <x:c r="C51" s="29" t="n">
        <x:v>0</x:v>
      </x:c>
      <x:c r="D51" s="29" t="n">
        <x:v>0</x:v>
      </x:c>
      <x:c r="E51" s="29" t="n">
        <x:v>0</x:v>
      </x:c>
      <x:c r="F51" s="29" t="n">
        <x:v>0</x:v>
      </x:c>
      <x:c r="G51" s="29" t="n">
        <x:f>SUM(C51:F51)</x:f>
        <x:v>0</x:v>
      </x:c>
      <x:c r="H51" s="29" t="n">
        <x:f>$E$3*4</x:f>
        <x:v>16</x:v>
      </x:c>
      <x:c r="I51" s="29" t="n">
        <x:f>H51-G51</x:f>
        <x:v>16</x:v>
      </x:c>
    </x:row>
    <x:row r="52" ht="20" customHeight="1">
      <x:c r="A52" s="16" t="d">
        <x:v>2026-09-28T12:00:00.000Z</x:v>
      </x:c>
      <x:c r="B52" s="14" t="str">
        <x:v>Sprint 1</x:v>
      </x:c>
      <x:c r="C52" s="29" t="n">
        <x:v>0</x:v>
      </x:c>
      <x:c r="D52" s="29" t="n">
        <x:v>0</x:v>
      </x:c>
      <x:c r="E52" s="29" t="n">
        <x:v>0</x:v>
      </x:c>
      <x:c r="F52" s="29" t="n">
        <x:v>0</x:v>
      </x:c>
      <x:c r="G52" s="29" t="n">
        <x:f>SUM(C52:F52)</x:f>
        <x:v>0</x:v>
      </x:c>
      <x:c r="H52" s="29" t="n">
        <x:f>$E$3*4</x:f>
        <x:v>16</x:v>
      </x:c>
      <x:c r="I52" s="29" t="n">
        <x:f>H52-G52</x:f>
        <x:v>16</x:v>
      </x:c>
    </x:row>
    <x:row r="53" ht="20" customHeight="1">
      <x:c r="A53" s="16" t="d">
        <x:v>2026-09-29T12:00:00.000Z</x:v>
      </x:c>
      <x:c r="B53" s="14" t="str">
        <x:v>Sprint 1</x:v>
      </x:c>
      <x:c r="C53" s="29" t="n">
        <x:v>0</x:v>
      </x:c>
      <x:c r="D53" s="29" t="n">
        <x:v>0</x:v>
      </x:c>
      <x:c r="E53" s="29" t="n">
        <x:v>0</x:v>
      </x:c>
      <x:c r="F53" s="29" t="n">
        <x:v>0</x:v>
      </x:c>
      <x:c r="G53" s="29" t="n">
        <x:f>SUM(C53:F53)</x:f>
        <x:v>0</x:v>
      </x:c>
      <x:c r="H53" s="29" t="n">
        <x:f>$E$3*4</x:f>
        <x:v>16</x:v>
      </x:c>
      <x:c r="I53" s="29" t="n">
        <x:f>H53-G53</x:f>
        <x:v>16</x:v>
      </x:c>
    </x:row>
    <x:row r="54" ht="20" customHeight="1">
      <x:c r="A54" s="16" t="d">
        <x:v>2026-09-30T12:00:00.000Z</x:v>
      </x:c>
      <x:c r="B54" s="14" t="str">
        <x:v>Sprint 1</x:v>
      </x:c>
      <x:c r="C54" s="29" t="n">
        <x:v>0</x:v>
      </x:c>
      <x:c r="D54" s="29" t="n">
        <x:v>0</x:v>
      </x:c>
      <x:c r="E54" s="29" t="n">
        <x:v>0</x:v>
      </x:c>
      <x:c r="F54" s="29" t="n">
        <x:v>0</x:v>
      </x:c>
      <x:c r="G54" s="29" t="n">
        <x:f>SUM(C54:F54)</x:f>
        <x:v>0</x:v>
      </x:c>
      <x:c r="H54" s="29" t="n">
        <x:f>$E$3*4</x:f>
        <x:v>16</x:v>
      </x:c>
      <x:c r="I54" s="29" t="n">
        <x:f>H54-G54</x:f>
        <x:v>16</x:v>
      </x:c>
    </x:row>
    <x:row r="55" ht="20" customHeight="1">
      <x:c r="A55" s="16" t="d">
        <x:v>2026-10-01T12:00:00.000Z</x:v>
      </x:c>
      <x:c r="B55" s="14" t="str">
        <x:v>Sprint 1</x:v>
      </x:c>
      <x:c r="C55" s="29" t="n">
        <x:v>0</x:v>
      </x:c>
      <x:c r="D55" s="29" t="n">
        <x:v>0</x:v>
      </x:c>
      <x:c r="E55" s="29" t="n">
        <x:v>0</x:v>
      </x:c>
      <x:c r="F55" s="29" t="n">
        <x:v>0</x:v>
      </x:c>
      <x:c r="G55" s="29" t="n">
        <x:f>SUM(C55:F55)</x:f>
        <x:v>0</x:v>
      </x:c>
      <x:c r="H55" s="29" t="n">
        <x:f>$E$3*4</x:f>
        <x:v>16</x:v>
      </x:c>
      <x:c r="I55" s="29" t="n">
        <x:f>H55-G55</x:f>
        <x:v>16</x:v>
      </x:c>
    </x:row>
    <x:row r="56" ht="20" customHeight="1">
      <x:c r="A56" s="16" t="d">
        <x:v>2026-10-02T12:00:00.000Z</x:v>
      </x:c>
      <x:c r="B56" s="14" t="str">
        <x:v>Sprint 1</x:v>
      </x:c>
      <x:c r="C56" s="29" t="n">
        <x:v>0</x:v>
      </x:c>
      <x:c r="D56" s="29" t="n">
        <x:v>0</x:v>
      </x:c>
      <x:c r="E56" s="29" t="n">
        <x:v>0</x:v>
      </x:c>
      <x:c r="F56" s="29" t="n">
        <x:v>0</x:v>
      </x:c>
      <x:c r="G56" s="29" t="n">
        <x:f>SUM(C56:F56)</x:f>
        <x:v>0</x:v>
      </x:c>
      <x:c r="H56" s="29" t="n">
        <x:f>$E$3*4</x:f>
        <x:v>16</x:v>
      </x:c>
      <x:c r="I56" s="29" t="n">
        <x:f>H56-G56</x:f>
        <x:v>16</x:v>
      </x:c>
    </x:row>
    <x:row r="57" ht="20" customHeight="1">
      <x:c r="A57" s="16" t="d">
        <x:v>2026-10-05T12:00:00.000Z</x:v>
      </x:c>
      <x:c r="B57" s="14" t="str">
        <x:v>Sprint 2</x:v>
      </x:c>
      <x:c r="C57" s="29" t="n">
        <x:v>0</x:v>
      </x:c>
      <x:c r="D57" s="29" t="n">
        <x:v>4</x:v>
      </x:c>
      <x:c r="E57" s="29" t="n">
        <x:v>4</x:v>
      </x:c>
      <x:c r="F57" s="29" t="n">
        <x:v>0</x:v>
      </x:c>
      <x:c r="G57" s="29" t="n">
        <x:f>SUM(C57:F57)</x:f>
        <x:v>8</x:v>
      </x:c>
      <x:c r="H57" s="29" t="n">
        <x:f>$E$3*4</x:f>
        <x:v>16</x:v>
      </x:c>
      <x:c r="I57" s="29" t="n">
        <x:f>H57-G57</x:f>
        <x:v>8</x:v>
      </x:c>
    </x:row>
    <x:row r="58" ht="20" customHeight="1">
      <x:c r="A58" s="16" t="d">
        <x:v>2026-10-06T12:00:00.000Z</x:v>
      </x:c>
      <x:c r="B58" s="14" t="str">
        <x:v>Sprint 2</x:v>
      </x:c>
      <x:c r="C58" s="29" t="n">
        <x:v>0</x:v>
      </x:c>
      <x:c r="D58" s="29" t="n">
        <x:v>0.5</x:v>
      </x:c>
      <x:c r="E58" s="29" t="n">
        <x:v>2.5</x:v>
      </x:c>
      <x:c r="F58" s="29" t="n">
        <x:v>2.5</x:v>
      </x:c>
      <x:c r="G58" s="29" t="n">
        <x:f>SUM(C58:F58)</x:f>
        <x:v>5.5</x:v>
      </x:c>
      <x:c r="H58" s="29" t="n">
        <x:f>$E$3*4</x:f>
        <x:v>16</x:v>
      </x:c>
      <x:c r="I58" s="29" t="n">
        <x:f>H58-G58</x:f>
        <x:v>10.5</x:v>
      </x:c>
    </x:row>
    <x:row r="59" ht="20" customHeight="1">
      <x:c r="A59" s="16" t="d">
        <x:v>2026-10-07T12:00:00.000Z</x:v>
      </x:c>
      <x:c r="B59" s="14" t="str">
        <x:v>Sprint 2</x:v>
      </x:c>
      <x:c r="C59" s="29" t="n">
        <x:v>0</x:v>
      </x:c>
      <x:c r="D59" s="29" t="n">
        <x:v>0.5</x:v>
      </x:c>
      <x:c r="E59" s="29" t="n">
        <x:v>3.5</x:v>
      </x:c>
      <x:c r="F59" s="29" t="n">
        <x:v>1</x:v>
      </x:c>
      <x:c r="G59" s="29" t="n">
        <x:f>SUM(C59:F59)</x:f>
        <x:v>5</x:v>
      </x:c>
      <x:c r="H59" s="29" t="n">
        <x:f>$E$3*4</x:f>
        <x:v>16</x:v>
      </x:c>
      <x:c r="I59" s="29" t="n">
        <x:f>H59-G59</x:f>
        <x:v>11</x:v>
      </x:c>
    </x:row>
    <x:row r="60" ht="20" customHeight="1">
      <x:c r="A60" s="16" t="d">
        <x:v>2026-10-08T12:00:00.000Z</x:v>
      </x:c>
      <x:c r="B60" s="14" t="str">
        <x:v>Sprint 2</x:v>
      </x:c>
      <x:c r="C60" s="29" t="n">
        <x:v>0</x:v>
      </x:c>
      <x:c r="D60" s="29" t="n">
        <x:v>1</x:v>
      </x:c>
      <x:c r="E60" s="29" t="n">
        <x:v>2</x:v>
      </x:c>
      <x:c r="F60" s="29" t="n">
        <x:v>1</x:v>
      </x:c>
      <x:c r="G60" s="29" t="n">
        <x:f>SUM(C60:F60)</x:f>
        <x:v>4</x:v>
      </x:c>
      <x:c r="H60" s="29" t="n">
        <x:f>$E$3*4</x:f>
        <x:v>16</x:v>
      </x:c>
      <x:c r="I60" s="29" t="n">
        <x:f>H60-G60</x:f>
        <x:v>12</x:v>
      </x:c>
    </x:row>
    <x:row r="61" ht="20" customHeight="1">
      <x:c r="A61" s="16" t="d">
        <x:v>2026-10-09T12:00:00.000Z</x:v>
      </x:c>
      <x:c r="B61" s="14" t="str">
        <x:v>Sprint 2</x:v>
      </x:c>
      <x:c r="C61" s="29" t="n">
        <x:v>0</x:v>
      </x:c>
      <x:c r="D61" s="29" t="n">
        <x:v>0</x:v>
      </x:c>
      <x:c r="E61" s="29" t="n">
        <x:v>4</x:v>
      </x:c>
      <x:c r="F61" s="29" t="n">
        <x:v>1</x:v>
      </x:c>
      <x:c r="G61" s="29" t="n">
        <x:f>SUM(C61:F61)</x:f>
        <x:v>5</x:v>
      </x:c>
      <x:c r="H61" s="29" t="n">
        <x:f>$E$3*4</x:f>
        <x:v>16</x:v>
      </x:c>
      <x:c r="I61" s="29" t="n">
        <x:f>H61-G61</x:f>
        <x:v>11</x:v>
      </x:c>
    </x:row>
    <x:row r="62" ht="20" customHeight="1">
      <x:c r="A62" s="16" t="d">
        <x:v>2026-10-12T12:00:00.000Z</x:v>
      </x:c>
      <x:c r="B62" s="14" t="str">
        <x:v>Sprint 2</x:v>
      </x:c>
      <x:c r="C62" s="29" t="n">
        <x:v>0</x:v>
      </x:c>
      <x:c r="D62" s="29" t="n">
        <x:v>0.5</x:v>
      </x:c>
      <x:c r="E62" s="29" t="n">
        <x:v>2</x:v>
      </x:c>
      <x:c r="F62" s="29" t="n">
        <x:v>1.5</x:v>
      </x:c>
      <x:c r="G62" s="29" t="n">
        <x:f>SUM(C62:F62)</x:f>
        <x:v>4</x:v>
      </x:c>
      <x:c r="H62" s="29" t="n">
        <x:f>$E$3*4</x:f>
        <x:v>16</x:v>
      </x:c>
      <x:c r="I62" s="29" t="n">
        <x:f>H62-G62</x:f>
        <x:v>12</x:v>
      </x:c>
    </x:row>
    <x:row r="63" ht="20" customHeight="1">
      <x:c r="A63" s="16" t="d">
        <x:v>2026-10-13T12:00:00.000Z</x:v>
      </x:c>
      <x:c r="B63" s="14" t="str">
        <x:v>Sprint 2</x:v>
      </x:c>
      <x:c r="C63" s="29" t="n">
        <x:v>0</x:v>
      </x:c>
      <x:c r="D63" s="29" t="n">
        <x:v>4</x:v>
      </x:c>
      <x:c r="E63" s="29" t="n">
        <x:v>3</x:v>
      </x:c>
      <x:c r="F63" s="29" t="n">
        <x:v>0</x:v>
      </x:c>
      <x:c r="G63" s="29" t="n">
        <x:f>SUM(C63:F63)</x:f>
        <x:v>7</x:v>
      </x:c>
      <x:c r="H63" s="29" t="n">
        <x:f>$E$3*4</x:f>
        <x:v>16</x:v>
      </x:c>
      <x:c r="I63" s="29" t="n">
        <x:f>H63-G63</x:f>
        <x:v>9</x:v>
      </x:c>
    </x:row>
    <x:row r="64" ht="20" customHeight="1">
      <x:c r="A64" s="16" t="d">
        <x:v>2026-10-14T12:00:00.000Z</x:v>
      </x:c>
      <x:c r="B64" s="14" t="str">
        <x:v>Sprint 2</x:v>
      </x:c>
      <x:c r="C64" s="29" t="n">
        <x:v>0</x:v>
      </x:c>
      <x:c r="D64" s="29" t="n">
        <x:v>0</x:v>
      </x:c>
      <x:c r="E64" s="29" t="n">
        <x:v>4</x:v>
      </x:c>
      <x:c r="F64" s="29" t="n">
        <x:v>1.5</x:v>
      </x:c>
      <x:c r="G64" s="29" t="n">
        <x:f>SUM(C64:F64)</x:f>
        <x:v>5.5</x:v>
      </x:c>
      <x:c r="H64" s="29" t="n">
        <x:f>$E$3*4</x:f>
        <x:v>16</x:v>
      </x:c>
      <x:c r="I64" s="29" t="n">
        <x:f>H64-G64</x:f>
        <x:v>10.5</x:v>
      </x:c>
    </x:row>
    <x:row r="65" ht="20" customHeight="1">
      <x:c r="A65" s="16" t="d">
        <x:v>2026-10-15T12:00:00.000Z</x:v>
      </x:c>
      <x:c r="B65" s="14" t="str">
        <x:v>Sprint 2</x:v>
      </x:c>
      <x:c r="C65" s="29" t="n">
        <x:v>0</x:v>
      </x:c>
      <x:c r="D65" s="29" t="n">
        <x:v>1.5</x:v>
      </x:c>
      <x:c r="E65" s="29" t="n">
        <x:v>3.5</x:v>
      </x:c>
      <x:c r="F65" s="29" t="n">
        <x:v>2</x:v>
      </x:c>
      <x:c r="G65" s="29" t="n">
        <x:f>SUM(C65:F65)</x:f>
        <x:v>7</x:v>
      </x:c>
      <x:c r="H65" s="29" t="n">
        <x:f>$E$3*4</x:f>
        <x:v>16</x:v>
      </x:c>
      <x:c r="I65" s="29" t="n">
        <x:f>H65-G65</x:f>
        <x:v>9</x:v>
      </x:c>
    </x:row>
    <x:row r="66" ht="20" customHeight="1">
      <x:c r="A66" s="16" t="d">
        <x:v>2026-10-16T12:00:00.000Z</x:v>
      </x:c>
      <x:c r="B66" s="14" t="str">
        <x:v>Sprint 2</x:v>
      </x:c>
      <x:c r="C66" s="29" t="n">
        <x:v>0</x:v>
      </x:c>
      <x:c r="D66" s="29" t="n">
        <x:v>0</x:v>
      </x:c>
      <x:c r="E66" s="29" t="n">
        <x:v>4</x:v>
      </x:c>
      <x:c r="F66" s="29" t="n">
        <x:v>0.5</x:v>
      </x:c>
      <x:c r="G66" s="29" t="n">
        <x:f>SUM(C66:F66)</x:f>
        <x:v>4.5</x:v>
      </x:c>
      <x:c r="H66" s="29" t="n">
        <x:f>$E$3*4</x:f>
        <x:v>16</x:v>
      </x:c>
      <x:c r="I66" s="29" t="n">
        <x:f>H66-G66</x:f>
        <x:v>11.5</x:v>
      </x:c>
    </x:row>
    <x:row r="67" ht="20" customHeight="1">
      <x:c r="A67" s="16" t="d">
        <x:v>2026-10-19T12:00:00.000Z</x:v>
      </x:c>
      <x:c r="B67" s="14" t="str">
        <x:v>Sprint 2</x:v>
      </x:c>
      <x:c r="C67" s="29" t="n">
        <x:v>0</x:v>
      </x:c>
      <x:c r="D67" s="29" t="n">
        <x:v>0</x:v>
      </x:c>
      <x:c r="E67" s="29" t="n">
        <x:v>4</x:v>
      </x:c>
      <x:c r="F67" s="29" t="n">
        <x:v>1.5</x:v>
      </x:c>
      <x:c r="G67" s="29" t="n">
        <x:f>SUM(C67:F67)</x:f>
        <x:v>5.5</x:v>
      </x:c>
      <x:c r="H67" s="29" t="n">
        <x:f>$E$3*4</x:f>
        <x:v>16</x:v>
      </x:c>
      <x:c r="I67" s="29" t="n">
        <x:f>H67-G67</x:f>
        <x:v>10.5</x:v>
      </x:c>
    </x:row>
    <x:row r="68" ht="20" customHeight="1">
      <x:c r="A68" s="16" t="d">
        <x:v>2026-10-20T12:00:00.000Z</x:v>
      </x:c>
      <x:c r="B68" s="14" t="str">
        <x:v>Sprint 2</x:v>
      </x:c>
      <x:c r="C68" s="29" t="n">
        <x:v>0</x:v>
      </x:c>
      <x:c r="D68" s="29" t="n">
        <x:v>2.5</x:v>
      </x:c>
      <x:c r="E68" s="29" t="n">
        <x:v>4</x:v>
      </x:c>
      <x:c r="F68" s="29" t="n">
        <x:v>1.5</x:v>
      </x:c>
      <x:c r="G68" s="29" t="n">
        <x:f>SUM(C68:F68)</x:f>
        <x:v>8</x:v>
      </x:c>
      <x:c r="H68" s="29" t="n">
        <x:f>$E$3*4</x:f>
        <x:v>16</x:v>
      </x:c>
      <x:c r="I68" s="29" t="n">
        <x:f>H68-G68</x:f>
        <x:v>8</x:v>
      </x:c>
    </x:row>
    <x:row r="69" ht="20" customHeight="1">
      <x:c r="A69" s="16" t="d">
        <x:v>2026-10-21T12:00:00.000Z</x:v>
      </x:c>
      <x:c r="B69" s="14" t="str">
        <x:v>Sprint 2</x:v>
      </x:c>
      <x:c r="C69" s="29" t="n">
        <x:v>0</x:v>
      </x:c>
      <x:c r="D69" s="29" t="n">
        <x:v>3</x:v>
      </x:c>
      <x:c r="E69" s="29" t="n">
        <x:v>0</x:v>
      </x:c>
      <x:c r="F69" s="29" t="n">
        <x:v>2.5</x:v>
      </x:c>
      <x:c r="G69" s="29" t="n">
        <x:f>SUM(C69:F69)</x:f>
        <x:v>5.5</x:v>
      </x:c>
      <x:c r="H69" s="29" t="n">
        <x:f>$E$3*4</x:f>
        <x:v>16</x:v>
      </x:c>
      <x:c r="I69" s="29" t="n">
        <x:f>H69-G69</x:f>
        <x:v>10.5</x:v>
      </x:c>
    </x:row>
    <x:row r="70" ht="20" customHeight="1">
      <x:c r="A70" s="16" t="d">
        <x:v>2026-10-22T12:00:00.000Z</x:v>
      </x:c>
      <x:c r="B70" s="14" t="str">
        <x:v>Sprint 2</x:v>
      </x:c>
      <x:c r="C70" s="29" t="n">
        <x:v>0</x:v>
      </x:c>
      <x:c r="D70" s="29" t="n">
        <x:v>4</x:v>
      </x:c>
      <x:c r="E70" s="29" t="n">
        <x:v>1.5</x:v>
      </x:c>
      <x:c r="F70" s="29" t="n">
        <x:v>1</x:v>
      </x:c>
      <x:c r="G70" s="29" t="n">
        <x:f>SUM(C70:F70)</x:f>
        <x:v>6.5</x:v>
      </x:c>
      <x:c r="H70" s="29" t="n">
        <x:f>$E$3*4</x:f>
        <x:v>16</x:v>
      </x:c>
      <x:c r="I70" s="29" t="n">
        <x:f>H70-G70</x:f>
        <x:v>9.5</x:v>
      </x:c>
    </x:row>
    <x:row r="71" ht="20" customHeight="1">
      <x:c r="A71" s="16" t="d">
        <x:v>2026-10-23T12:00:00.000Z</x:v>
      </x:c>
      <x:c r="B71" s="14" t="str">
        <x:v>Sprint 2</x:v>
      </x:c>
      <x:c r="C71" s="29" t="n">
        <x:v>0</x:v>
      </x:c>
      <x:c r="D71" s="29" t="n">
        <x:v>2.5</x:v>
      </x:c>
      <x:c r="E71" s="29" t="n">
        <x:v>4</x:v>
      </x:c>
      <x:c r="F71" s="29" t="n">
        <x:v>4</x:v>
      </x:c>
      <x:c r="G71" s="29" t="n">
        <x:f>SUM(C71:F71)</x:f>
        <x:v>10.5</x:v>
      </x:c>
      <x:c r="H71" s="29" t="n">
        <x:f>$E$3*4</x:f>
        <x:v>16</x:v>
      </x:c>
      <x:c r="I71" s="29" t="n">
        <x:f>H71-G71</x:f>
        <x:v>5.5</x:v>
      </x:c>
    </x:row>
    <x:row r="72" ht="20" customHeight="1">
      <x:c r="A72" s="16" t="d">
        <x:v>2026-10-26T12:00:00.000Z</x:v>
      </x:c>
      <x:c r="B72" s="14" t="str">
        <x:v>Sprint 2</x:v>
      </x:c>
      <x:c r="C72" s="29" t="n">
        <x:v>0</x:v>
      </x:c>
      <x:c r="D72" s="29" t="n">
        <x:v>0</x:v>
      </x:c>
      <x:c r="E72" s="29" t="n">
        <x:v>3.5</x:v>
      </x:c>
      <x:c r="F72" s="29" t="n">
        <x:v>2</x:v>
      </x:c>
      <x:c r="G72" s="29" t="n">
        <x:f>SUM(C72:F72)</x:f>
        <x:v>5.5</x:v>
      </x:c>
      <x:c r="H72" s="29" t="n">
        <x:f>$E$3*4</x:f>
        <x:v>16</x:v>
      </x:c>
      <x:c r="I72" s="29" t="n">
        <x:f>H72-G72</x:f>
        <x:v>10.5</x:v>
      </x:c>
    </x:row>
    <x:row r="73" ht="20" customHeight="1">
      <x:c r="A73" s="16" t="d">
        <x:v>2026-10-27T12:00:00.000Z</x:v>
      </x:c>
      <x:c r="B73" s="14" t="str">
        <x:v>Sprint 2</x:v>
      </x:c>
      <x:c r="C73" s="29" t="n">
        <x:v>0</x:v>
      </x:c>
      <x:c r="D73" s="29" t="n">
        <x:v>4</x:v>
      </x:c>
      <x:c r="E73" s="29" t="n">
        <x:v>3</x:v>
      </x:c>
      <x:c r="F73" s="29" t="n">
        <x:v>0</x:v>
      </x:c>
      <x:c r="G73" s="29" t="n">
        <x:f>SUM(C73:F73)</x:f>
        <x:v>7</x:v>
      </x:c>
      <x:c r="H73" s="29" t="n">
        <x:f>$E$3*4</x:f>
        <x:v>16</x:v>
      </x:c>
      <x:c r="I73" s="29" t="n">
        <x:f>H73-G73</x:f>
        <x:v>9</x:v>
      </x:c>
    </x:row>
    <x:row r="74" ht="20" customHeight="1">
      <x:c r="A74" s="16" t="d">
        <x:v>2026-10-28T12:00:00.000Z</x:v>
      </x:c>
      <x:c r="B74" s="14" t="str">
        <x:v>Sprint 2</x:v>
      </x:c>
      <x:c r="C74" s="29" t="n">
        <x:v>0</x:v>
      </x:c>
      <x:c r="D74" s="29" t="n">
        <x:v>2</x:v>
      </x:c>
      <x:c r="E74" s="29" t="n">
        <x:v>4</x:v>
      </x:c>
      <x:c r="F74" s="29" t="n">
        <x:v>1</x:v>
      </x:c>
      <x:c r="G74" s="29" t="n">
        <x:f>SUM(C74:F74)</x:f>
        <x:v>7</x:v>
      </x:c>
      <x:c r="H74" s="29" t="n">
        <x:f>$E$3*4</x:f>
        <x:v>16</x:v>
      </x:c>
      <x:c r="I74" s="29" t="n">
        <x:f>H74-G74</x:f>
        <x:v>9</x:v>
      </x:c>
    </x:row>
    <x:row r="75" ht="20" customHeight="1">
      <x:c r="A75" s="16" t="d">
        <x:v>2026-10-29T12:00:00.000Z</x:v>
      </x:c>
      <x:c r="B75" s="14" t="str">
        <x:v>Sprint 2</x:v>
      </x:c>
      <x:c r="C75" s="29" t="n">
        <x:v>0</x:v>
      </x:c>
      <x:c r="D75" s="29" t="n">
        <x:v>0</x:v>
      </x:c>
      <x:c r="E75" s="29" t="n">
        <x:v>4</x:v>
      </x:c>
      <x:c r="F75" s="29" t="n">
        <x:v>1.5</x:v>
      </x:c>
      <x:c r="G75" s="29" t="n">
        <x:f>SUM(C75:F75)</x:f>
        <x:v>5.5</x:v>
      </x:c>
      <x:c r="H75" s="29" t="n">
        <x:f>$E$3*4</x:f>
        <x:v>16</x:v>
      </x:c>
      <x:c r="I75" s="29" t="n">
        <x:f>H75-G75</x:f>
        <x:v>10.5</x:v>
      </x:c>
    </x:row>
    <x:row r="76" ht="20" customHeight="1">
      <x:c r="A76" s="16" t="d">
        <x:v>2026-10-30T12:00:00.000Z</x:v>
      </x:c>
      <x:c r="B76" s="14" t="str">
        <x:v>Sprint 2</x:v>
      </x:c>
      <x:c r="C76" s="29" t="n">
        <x:v>0</x:v>
      </x:c>
      <x:c r="D76" s="29" t="n">
        <x:v>0</x:v>
      </x:c>
      <x:c r="E76" s="29" t="n">
        <x:v>3.5</x:v>
      </x:c>
      <x:c r="F76" s="29" t="n">
        <x:v>2.5</x:v>
      </x:c>
      <x:c r="G76" s="29" t="n">
        <x:f>SUM(C76:F76)</x:f>
        <x:v>6</x:v>
      </x:c>
      <x:c r="H76" s="29" t="n">
        <x:f>$E$3*4</x:f>
        <x:v>16</x:v>
      </x:c>
      <x:c r="I76" s="29" t="n">
        <x:f>H76-G76</x:f>
        <x:v>10</x:v>
      </x:c>
    </x:row>
    <x:row r="77" ht="20" customHeight="1">
      <x:c r="A77" s="16" t="d">
        <x:v>2026-11-02T12:00:00.000Z</x:v>
      </x:c>
      <x:c r="B77" s="14" t="str">
        <x:v>Sprint 2</x:v>
      </x:c>
      <x:c r="C77" s="29" t="n">
        <x:v>0</x:v>
      </x:c>
      <x:c r="D77" s="29" t="n">
        <x:v>0</x:v>
      </x:c>
      <x:c r="E77" s="29" t="n">
        <x:v>4</x:v>
      </x:c>
      <x:c r="F77" s="29" t="n">
        <x:v>0.5</x:v>
      </x:c>
      <x:c r="G77" s="29" t="n">
        <x:f>SUM(C77:F77)</x:f>
        <x:v>4.5</x:v>
      </x:c>
      <x:c r="H77" s="29" t="n">
        <x:f>$E$3*4</x:f>
        <x:v>16</x:v>
      </x:c>
      <x:c r="I77" s="29" t="n">
        <x:f>H77-G77</x:f>
        <x:v>11.5</x:v>
      </x:c>
    </x:row>
    <x:row r="78" ht="20" customHeight="1">
      <x:c r="A78" s="16" t="d">
        <x:v>2026-11-03T12:00:00.000Z</x:v>
      </x:c>
      <x:c r="B78" s="14" t="str">
        <x:v>Sprint 2</x:v>
      </x:c>
      <x:c r="C78" s="29" t="n">
        <x:v>0</x:v>
      </x:c>
      <x:c r="D78" s="29" t="n">
        <x:v>0</x:v>
      </x:c>
      <x:c r="E78" s="29" t="n">
        <x:v>4</x:v>
      </x:c>
      <x:c r="F78" s="29" t="n">
        <x:v>1.5</x:v>
      </x:c>
      <x:c r="G78" s="29" t="n">
        <x:f>SUM(C78:F78)</x:f>
        <x:v>5.5</x:v>
      </x:c>
      <x:c r="H78" s="29" t="n">
        <x:f>$E$3*4</x:f>
        <x:v>16</x:v>
      </x:c>
      <x:c r="I78" s="29" t="n">
        <x:f>H78-G78</x:f>
        <x:v>10.5</x:v>
      </x:c>
    </x:row>
    <x:row r="79" ht="20" customHeight="1">
      <x:c r="A79" s="16" t="d">
        <x:v>2026-11-04T12:00:00.000Z</x:v>
      </x:c>
      <x:c r="B79" s="14" t="str">
        <x:v>Sprint 2</x:v>
      </x:c>
      <x:c r="C79" s="29" t="n">
        <x:v>0</x:v>
      </x:c>
      <x:c r="D79" s="29" t="n">
        <x:v>0</x:v>
      </x:c>
      <x:c r="E79" s="29" t="n">
        <x:v>4</x:v>
      </x:c>
      <x:c r="F79" s="29" t="n">
        <x:v>2</x:v>
      </x:c>
      <x:c r="G79" s="29" t="n">
        <x:f>SUM(C79:F79)</x:f>
        <x:v>6</x:v>
      </x:c>
      <x:c r="H79" s="29" t="n">
        <x:f>$E$3*4</x:f>
        <x:v>16</x:v>
      </x:c>
      <x:c r="I79" s="29" t="n">
        <x:f>H79-G79</x:f>
        <x:v>10</x:v>
      </x:c>
    </x:row>
    <x:row r="80" ht="20" customHeight="1">
      <x:c r="A80" s="16" t="d">
        <x:v>2026-11-05T12:00:00.000Z</x:v>
      </x:c>
      <x:c r="B80" s="14" t="str">
        <x:v>Sprint 2</x:v>
      </x:c>
      <x:c r="C80" s="29" t="n">
        <x:v>0</x:v>
      </x:c>
      <x:c r="D80" s="29" t="n">
        <x:v>1.5</x:v>
      </x:c>
      <x:c r="E80" s="29" t="n">
        <x:v>4</x:v>
      </x:c>
      <x:c r="F80" s="29" t="n">
        <x:v>1</x:v>
      </x:c>
      <x:c r="G80" s="29" t="n">
        <x:f>SUM(C80:F80)</x:f>
        <x:v>6.5</x:v>
      </x:c>
      <x:c r="H80" s="29" t="n">
        <x:f>$E$3*4</x:f>
        <x:v>16</x:v>
      </x:c>
      <x:c r="I80" s="29" t="n">
        <x:f>H80-G80</x:f>
        <x:v>9.5</x:v>
      </x:c>
    </x:row>
    <x:row r="81" ht="20" customHeight="1">
      <x:c r="A81" s="16" t="d">
        <x:v>2026-11-06T12:00:00.000Z</x:v>
      </x:c>
      <x:c r="B81" s="14" t="str">
        <x:v>Sprint 2</x:v>
      </x:c>
      <x:c r="C81" s="29" t="n">
        <x:v>0</x:v>
      </x:c>
      <x:c r="D81" s="29" t="n">
        <x:v>0</x:v>
      </x:c>
      <x:c r="E81" s="29" t="n">
        <x:v>4</x:v>
      </x:c>
      <x:c r="F81" s="29" t="n">
        <x:v>0</x:v>
      </x:c>
      <x:c r="G81" s="29" t="n">
        <x:f>SUM(C81:F81)</x:f>
        <x:v>4</x:v>
      </x:c>
      <x:c r="H81" s="29" t="n">
        <x:f>$E$3*4</x:f>
        <x:v>16</x:v>
      </x:c>
      <x:c r="I81" s="29" t="n">
        <x:f>H81-G81</x:f>
        <x:v>12</x:v>
      </x:c>
    </x:row>
    <x:row r="82" ht="20" customHeight="1">
      <x:c r="A82" s="16" t="d">
        <x:v>2026-11-09T12:00:00.000Z</x:v>
      </x:c>
      <x:c r="B82" s="14" t="str">
        <x:v>Sprint 2</x:v>
      </x:c>
      <x:c r="C82" s="29" t="n">
        <x:v>0</x:v>
      </x:c>
      <x:c r="D82" s="29" t="n">
        <x:v>0</x:v>
      </x:c>
      <x:c r="E82" s="29" t="n">
        <x:v>4</x:v>
      </x:c>
      <x:c r="F82" s="29" t="n">
        <x:v>0</x:v>
      </x:c>
      <x:c r="G82" s="29" t="n">
        <x:f>SUM(C82:F82)</x:f>
        <x:v>4</x:v>
      </x:c>
      <x:c r="H82" s="29" t="n">
        <x:f>$E$3*4</x:f>
        <x:v>16</x:v>
      </x:c>
      <x:c r="I82" s="29" t="n">
        <x:f>H82-G82</x:f>
        <x:v>12</x:v>
      </x:c>
    </x:row>
    <x:row r="83" ht="20" customHeight="1">
      <x:c r="A83" s="16" t="d">
        <x:v>2026-11-10T12:00:00.000Z</x:v>
      </x:c>
      <x:c r="B83" s="14" t="str">
        <x:v>Sprint 2</x:v>
      </x:c>
      <x:c r="C83" s="29" t="n">
        <x:v>0</x:v>
      </x:c>
      <x:c r="D83" s="29" t="n">
        <x:v>0</x:v>
      </x:c>
      <x:c r="E83" s="29" t="n">
        <x:v>0.5</x:v>
      </x:c>
      <x:c r="F83" s="29" t="n">
        <x:v>0</x:v>
      </x:c>
      <x:c r="G83" s="29" t="n">
        <x:f>SUM(C83:F83)</x:f>
        <x:v>0.5</x:v>
      </x:c>
      <x:c r="H83" s="29" t="n">
        <x:f>$E$3*4</x:f>
        <x:v>16</x:v>
      </x:c>
      <x:c r="I83" s="29" t="n">
        <x:f>H83-G83</x:f>
        <x:v>15.5</x:v>
      </x:c>
    </x:row>
    <x:row r="84" ht="20" customHeight="1">
      <x:c r="A84" s="16" t="d">
        <x:v>2026-11-11T12:00:00.000Z</x:v>
      </x:c>
      <x:c r="B84" s="14" t="str">
        <x:v>Sprint 2</x:v>
      </x:c>
      <x:c r="C84" s="29" t="n">
        <x:v>0</x:v>
      </x:c>
      <x:c r="D84" s="29" t="n">
        <x:v>0</x:v>
      </x:c>
      <x:c r="E84" s="29" t="n">
        <x:v>0</x:v>
      </x:c>
      <x:c r="F84" s="29" t="n">
        <x:v>0</x:v>
      </x:c>
      <x:c r="G84" s="29" t="n">
        <x:f>SUM(C84:F84)</x:f>
        <x:v>0</x:v>
      </x:c>
      <x:c r="H84" s="29" t="n">
        <x:f>$E$3*4</x:f>
        <x:v>16</x:v>
      </x:c>
      <x:c r="I84" s="29" t="n">
        <x:f>H84-G84</x:f>
        <x:v>16</x:v>
      </x:c>
    </x:row>
    <x:row r="85" ht="20" customHeight="1">
      <x:c r="A85" s="16" t="d">
        <x:v>2026-11-12T12:00:00.000Z</x:v>
      </x:c>
      <x:c r="B85" s="14" t="str">
        <x:v>Sprint 2</x:v>
      </x:c>
      <x:c r="C85" s="29" t="n">
        <x:v>0</x:v>
      </x:c>
      <x:c r="D85" s="29" t="n">
        <x:v>0</x:v>
      </x:c>
      <x:c r="E85" s="29" t="n">
        <x:v>0</x:v>
      </x:c>
      <x:c r="F85" s="29" t="n">
        <x:v>0</x:v>
      </x:c>
      <x:c r="G85" s="29" t="n">
        <x:f>SUM(C85:F85)</x:f>
        <x:v>0</x:v>
      </x:c>
      <x:c r="H85" s="29" t="n">
        <x:f>$E$3*4</x:f>
        <x:v>16</x:v>
      </x:c>
      <x:c r="I85" s="29" t="n">
        <x:f>H85-G85</x:f>
        <x:v>16</x:v>
      </x:c>
    </x:row>
    <x:row r="86" ht="20" customHeight="1">
      <x:c r="A86" s="16" t="d">
        <x:v>2026-11-13T12:00:00.000Z</x:v>
      </x:c>
      <x:c r="B86" s="14" t="str">
        <x:v>Sprint 2</x:v>
      </x:c>
      <x:c r="C86" s="29" t="n">
        <x:v>0</x:v>
      </x:c>
      <x:c r="D86" s="29" t="n">
        <x:v>0</x:v>
      </x:c>
      <x:c r="E86" s="29" t="n">
        <x:v>0</x:v>
      </x:c>
      <x:c r="F86" s="29" t="n">
        <x:v>0</x:v>
      </x:c>
      <x:c r="G86" s="29" t="n">
        <x:f>SUM(C86:F86)</x:f>
        <x:v>0</x:v>
      </x:c>
      <x:c r="H86" s="29" t="n">
        <x:f>$E$3*4</x:f>
        <x:v>16</x:v>
      </x:c>
      <x:c r="I86" s="29" t="n">
        <x:f>H86-G86</x:f>
        <x:v>16</x:v>
      </x:c>
    </x:row>
    <x:row r="87" ht="20" customHeight="1">
      <x:c r="A87" s="16" t="d">
        <x:v>2026-11-16T12:00:00.000Z</x:v>
      </x:c>
      <x:c r="B87" s="14" t="str">
        <x:v>Sprint 3</x:v>
      </x:c>
      <x:c r="C87" s="29" t="n">
        <x:v>0</x:v>
      </x:c>
      <x:c r="D87" s="29" t="n">
        <x:v>0</x:v>
      </x:c>
      <x:c r="E87" s="29" t="n">
        <x:v>2</x:v>
      </x:c>
      <x:c r="F87" s="29" t="n">
        <x:v>2</x:v>
      </x:c>
      <x:c r="G87" s="29" t="n">
        <x:f>SUM(C87:F87)</x:f>
        <x:v>4</x:v>
      </x:c>
      <x:c r="H87" s="29" t="n">
        <x:f>$E$3*4</x:f>
        <x:v>16</x:v>
      </x:c>
      <x:c r="I87" s="29" t="n">
        <x:f>H87-G87</x:f>
        <x:v>12</x:v>
      </x:c>
    </x:row>
    <x:row r="88" ht="20" customHeight="1">
      <x:c r="A88" s="16" t="d">
        <x:v>2026-11-17T12:00:00.000Z</x:v>
      </x:c>
      <x:c r="B88" s="14" t="str">
        <x:v>Sprint 3</x:v>
      </x:c>
      <x:c r="C88" s="29" t="n">
        <x:v>0</x:v>
      </x:c>
      <x:c r="D88" s="29" t="n">
        <x:v>0</x:v>
      </x:c>
      <x:c r="E88" s="29" t="n">
        <x:v>2</x:v>
      </x:c>
      <x:c r="F88" s="29" t="n">
        <x:v>2</x:v>
      </x:c>
      <x:c r="G88" s="29" t="n">
        <x:f>SUM(C88:F88)</x:f>
        <x:v>4</x:v>
      </x:c>
      <x:c r="H88" s="29" t="n">
        <x:f>$E$3*4</x:f>
        <x:v>16</x:v>
      </x:c>
      <x:c r="I88" s="29" t="n">
        <x:f>H88-G88</x:f>
        <x:v>12</x:v>
      </x:c>
    </x:row>
    <x:row r="89" ht="20" customHeight="1">
      <x:c r="A89" s="16" t="d">
        <x:v>2026-11-18T12:00:00.000Z</x:v>
      </x:c>
      <x:c r="B89" s="14" t="str">
        <x:v>Sprint 3</x:v>
      </x:c>
      <x:c r="C89" s="29" t="n">
        <x:v>0</x:v>
      </x:c>
      <x:c r="D89" s="29" t="n">
        <x:v>0</x:v>
      </x:c>
      <x:c r="E89" s="29" t="n">
        <x:v>0</x:v>
      </x:c>
      <x:c r="F89" s="29" t="n">
        <x:v>0</x:v>
      </x:c>
      <x:c r="G89" s="29" t="n">
        <x:f>SUM(C89:F89)</x:f>
        <x:v>0</x:v>
      </x:c>
      <x:c r="H89" s="29" t="n">
        <x:f>$E$3*4</x:f>
        <x:v>16</x:v>
      </x:c>
      <x:c r="I89" s="29" t="n">
        <x:f>H89-G89</x:f>
        <x:v>16</x:v>
      </x:c>
    </x:row>
    <x:row r="90" ht="20" customHeight="1">
      <x:c r="A90" s="16" t="d">
        <x:v>2026-11-19T12:00:00.000Z</x:v>
      </x:c>
      <x:c r="B90" s="14" t="str">
        <x:v>Sprint 3</x:v>
      </x:c>
      <x:c r="C90" s="29" t="n">
        <x:v>0</x:v>
      </x:c>
      <x:c r="D90" s="29" t="n">
        <x:v>0</x:v>
      </x:c>
      <x:c r="E90" s="29" t="n">
        <x:v>0</x:v>
      </x:c>
      <x:c r="F90" s="29" t="n">
        <x:v>4</x:v>
      </x:c>
      <x:c r="G90" s="29" t="n">
        <x:f>SUM(C90:F90)</x:f>
        <x:v>4</x:v>
      </x:c>
      <x:c r="H90" s="29" t="n">
        <x:f>$E$3*4</x:f>
        <x:v>16</x:v>
      </x:c>
      <x:c r="I90" s="29" t="n">
        <x:f>H90-G90</x:f>
        <x:v>12</x:v>
      </x:c>
    </x:row>
    <x:row r="91" ht="20" customHeight="1">
      <x:c r="A91" s="16" t="d">
        <x:v>2026-11-20T12:00:00.000Z</x:v>
      </x:c>
      <x:c r="B91" s="14" t="str">
        <x:v>Sprint 3</x:v>
      </x:c>
      <x:c r="C91" s="29" t="n">
        <x:v>0</x:v>
      </x:c>
      <x:c r="D91" s="29" t="n">
        <x:v>0</x:v>
      </x:c>
      <x:c r="E91" s="29" t="n">
        <x:v>0</x:v>
      </x:c>
      <x:c r="F91" s="29" t="n">
        <x:v>2.5</x:v>
      </x:c>
      <x:c r="G91" s="29" t="n">
        <x:f>SUM(C91:F91)</x:f>
        <x:v>2.5</x:v>
      </x:c>
      <x:c r="H91" s="29" t="n">
        <x:f>$E$3*4</x:f>
        <x:v>16</x:v>
      </x:c>
      <x:c r="I91" s="29" t="n">
        <x:f>H91-G91</x:f>
        <x:v>13.5</x:v>
      </x:c>
    </x:row>
    <x:row r="92" ht="20" customHeight="1">
      <x:c r="A92" s="16" t="d">
        <x:v>2026-11-23T12:00:00.000Z</x:v>
      </x:c>
      <x:c r="B92" s="14" t="str">
        <x:v>Sprint 3</x:v>
      </x:c>
      <x:c r="C92" s="29" t="n">
        <x:v>4</x:v>
      </x:c>
      <x:c r="D92" s="29" t="n">
        <x:v>0</x:v>
      </x:c>
      <x:c r="E92" s="29" t="n">
        <x:v>0</x:v>
      </x:c>
      <x:c r="F92" s="29" t="n">
        <x:v>4</x:v>
      </x:c>
      <x:c r="G92" s="29" t="n">
        <x:f>SUM(C92:F92)</x:f>
        <x:v>8</x:v>
      </x:c>
      <x:c r="H92" s="29" t="n">
        <x:f>$E$3*4</x:f>
        <x:v>16</x:v>
      </x:c>
      <x:c r="I92" s="29" t="n">
        <x:f>H92-G92</x:f>
        <x:v>8</x:v>
      </x:c>
    </x:row>
    <x:row r="93" ht="20" customHeight="1">
      <x:c r="A93" s="16" t="d">
        <x:v>2026-11-24T12:00:00.000Z</x:v>
      </x:c>
      <x:c r="B93" s="14" t="str">
        <x:v>Sprint 3</x:v>
      </x:c>
      <x:c r="C93" s="29" t="n">
        <x:v>0</x:v>
      </x:c>
      <x:c r="D93" s="29" t="n">
        <x:v>0</x:v>
      </x:c>
      <x:c r="E93" s="29" t="n">
        <x:v>0</x:v>
      </x:c>
      <x:c r="F93" s="29" t="n">
        <x:v>0</x:v>
      </x:c>
      <x:c r="G93" s="29" t="n">
        <x:f>SUM(C93:F93)</x:f>
        <x:v>0</x:v>
      </x:c>
      <x:c r="H93" s="29" t="n">
        <x:f>$E$3*4</x:f>
        <x:v>16</x:v>
      </x:c>
      <x:c r="I93" s="29" t="n">
        <x:f>H93-G93</x:f>
        <x:v>16</x:v>
      </x:c>
    </x:row>
    <x:row r="94" ht="20" customHeight="1">
      <x:c r="A94" s="16" t="d">
        <x:v>2026-11-25T12:00:00.000Z</x:v>
      </x:c>
      <x:c r="B94" s="14" t="str">
        <x:v>Sprint 3</x:v>
      </x:c>
      <x:c r="C94" s="29" t="n">
        <x:v>1.5</x:v>
      </x:c>
      <x:c r="D94" s="29" t="n">
        <x:v>1.5</x:v>
      </x:c>
      <x:c r="E94" s="29" t="n">
        <x:v>0</x:v>
      </x:c>
      <x:c r="F94" s="29" t="n">
        <x:v>0</x:v>
      </x:c>
      <x:c r="G94" s="29" t="n">
        <x:f>SUM(C94:F94)</x:f>
        <x:v>3</x:v>
      </x:c>
      <x:c r="H94" s="29" t="n">
        <x:f>$E$3*4</x:f>
        <x:v>16</x:v>
      </x:c>
      <x:c r="I94" s="29" t="n">
        <x:f>H94-G94</x:f>
        <x:v>13</x:v>
      </x:c>
    </x:row>
    <x:row r="95" ht="20" customHeight="1">
      <x:c r="A95" s="16" t="d">
        <x:v>2026-11-26T12:00:00.000Z</x:v>
      </x:c>
      <x:c r="B95" s="14" t="str">
        <x:v>Sprint 3</x:v>
      </x:c>
      <x:c r="C95" s="29" t="n">
        <x:v>0</x:v>
      </x:c>
      <x:c r="D95" s="29" t="n">
        <x:v>0</x:v>
      </x:c>
      <x:c r="E95" s="29" t="n">
        <x:v>0</x:v>
      </x:c>
      <x:c r="F95" s="29" t="n">
        <x:v>0</x:v>
      </x:c>
      <x:c r="G95" s="29" t="n">
        <x:f>SUM(C95:F95)</x:f>
        <x:v>0</x:v>
      </x:c>
      <x:c r="H95" s="29" t="n">
        <x:f>$E$3*4</x:f>
        <x:v>16</x:v>
      </x:c>
      <x:c r="I95" s="29" t="n">
        <x:f>H95-G95</x:f>
        <x:v>16</x:v>
      </x:c>
    </x:row>
    <x:row r="96" ht="20" customHeight="1">
      <x:c r="A96" s="16" t="d">
        <x:v>2026-11-27T12:00:00.000Z</x:v>
      </x:c>
      <x:c r="B96" s="14" t="str">
        <x:v>Sprint 3</x:v>
      </x:c>
      <x:c r="C96" s="29" t="n">
        <x:v>0</x:v>
      </x:c>
      <x:c r="D96" s="29" t="n">
        <x:v>1.5</x:v>
      </x:c>
      <x:c r="E96" s="29" t="n">
        <x:v>1.5</x:v>
      </x:c>
      <x:c r="F96" s="29" t="n">
        <x:v>1.5</x:v>
      </x:c>
      <x:c r="G96" s="29" t="n">
        <x:f>SUM(C96:F96)</x:f>
        <x:v>4.5</x:v>
      </x:c>
      <x:c r="H96" s="29" t="n">
        <x:f>$E$3*4</x:f>
        <x:v>16</x:v>
      </x:c>
      <x:c r="I96" s="29" t="n">
        <x:f>H96-G96</x:f>
        <x:v>11.5</x:v>
      </x:c>
    </x:row>
    <x:row r="97" ht="20" customHeight="1">
      <x:c r="A97" s="16" t="d">
        <x:v>2026-11-30T12:00:00.000Z</x:v>
      </x:c>
      <x:c r="B97" s="14" t="str">
        <x:v>Sprint 3</x:v>
      </x:c>
      <x:c r="C97" s="29" t="n">
        <x:v>0</x:v>
      </x:c>
      <x:c r="D97" s="29" t="n">
        <x:v>0</x:v>
      </x:c>
      <x:c r="E97" s="29" t="n">
        <x:v>0</x:v>
      </x:c>
      <x:c r="F97" s="29" t="n">
        <x:v>0</x:v>
      </x:c>
      <x:c r="G97" s="29" t="n">
        <x:f>SUM(C97:F97)</x:f>
        <x:v>0</x:v>
      </x:c>
      <x:c r="H97" s="29" t="n">
        <x:f>$E$3*4</x:f>
        <x:v>16</x:v>
      </x:c>
      <x:c r="I97" s="29" t="n">
        <x:f>H97-G97</x:f>
        <x:v>16</x:v>
      </x:c>
    </x:row>
    <x:row r="98" ht="20" customHeight="1">
      <x:c r="A98" s="16" t="d">
        <x:v>2026-12-01T12:00:00.000Z</x:v>
      </x:c>
      <x:c r="B98" s="14" t="str">
        <x:v>Sprint 3</x:v>
      </x:c>
      <x:c r="C98" s="29" t="n">
        <x:v>0</x:v>
      </x:c>
      <x:c r="D98" s="29" t="n">
        <x:v>0</x:v>
      </x:c>
      <x:c r="E98" s="29" t="n">
        <x:v>4</x:v>
      </x:c>
      <x:c r="F98" s="29" t="n">
        <x:v>0</x:v>
      </x:c>
      <x:c r="G98" s="29" t="n">
        <x:f>SUM(C98:F98)</x:f>
        <x:v>4</x:v>
      </x:c>
      <x:c r="H98" s="29" t="n">
        <x:f>$E$3*4</x:f>
        <x:v>16</x:v>
      </x:c>
      <x:c r="I98" s="29" t="n">
        <x:f>H98-G98</x:f>
        <x:v>12</x:v>
      </x:c>
    </x:row>
    <x:row r="99" ht="20" customHeight="1">
      <x:c r="A99" s="16" t="d">
        <x:v>2026-12-02T12:00:00.000Z</x:v>
      </x:c>
      <x:c r="B99" s="14" t="str">
        <x:v>Sprint 3</x:v>
      </x:c>
      <x:c r="C99" s="29" t="n">
        <x:v>0</x:v>
      </x:c>
      <x:c r="D99" s="29" t="n">
        <x:v>0</x:v>
      </x:c>
      <x:c r="E99" s="29" t="n">
        <x:v>2.5</x:v>
      </x:c>
      <x:c r="F99" s="29" t="n">
        <x:v>0</x:v>
      </x:c>
      <x:c r="G99" s="29" t="n">
        <x:f>SUM(C99:F99)</x:f>
        <x:v>2.5</x:v>
      </x:c>
      <x:c r="H99" s="29" t="n">
        <x:f>$E$3*4</x:f>
        <x:v>16</x:v>
      </x:c>
      <x:c r="I99" s="29" t="n">
        <x:f>H99-G99</x:f>
        <x:v>13.5</x:v>
      </x:c>
    </x:row>
    <x:row r="100" ht="20" customHeight="1">
      <x:c r="A100" s="16" t="d">
        <x:v>2026-12-03T12:00:00.000Z</x:v>
      </x:c>
      <x:c r="B100" s="14" t="str">
        <x:v>Sprint 3</x:v>
      </x:c>
      <x:c r="C100" s="29" t="n">
        <x:v>1</x:v>
      </x:c>
      <x:c r="D100" s="29" t="n">
        <x:v>1</x:v>
      </x:c>
      <x:c r="E100" s="29" t="n">
        <x:v>1</x:v>
      </x:c>
      <x:c r="F100" s="29" t="n">
        <x:v>1</x:v>
      </x:c>
      <x:c r="G100" s="29" t="n">
        <x:f>SUM(C100:F100)</x:f>
        <x:v>4</x:v>
      </x:c>
      <x:c r="H100" s="29" t="n">
        <x:f>$E$3*4</x:f>
        <x:v>16</x:v>
      </x:c>
      <x:c r="I100" s="29" t="n">
        <x:f>H100-G100</x:f>
        <x:v>12</x:v>
      </x:c>
    </x:row>
    <x:row r="101" ht="20" customHeight="1">
      <x:c r="A101" s="16" t="d">
        <x:v>2026-12-04T12:00:00.000Z</x:v>
      </x:c>
      <x:c r="B101" s="14" t="str">
        <x:v>Sprint 3</x:v>
      </x:c>
      <x:c r="C101" s="29" t="n">
        <x:v>0</x:v>
      </x:c>
      <x:c r="D101" s="29" t="n">
        <x:v>0</x:v>
      </x:c>
      <x:c r="E101" s="29" t="n">
        <x:v>0</x:v>
      </x:c>
      <x:c r="F101" s="29" t="n">
        <x:v>0</x:v>
      </x:c>
      <x:c r="G101" s="29" t="n">
        <x:f>SUM(C101:F101)</x:f>
        <x:v>0</x:v>
      </x:c>
      <x:c r="H101" s="29" t="n">
        <x:f>$E$3*4</x:f>
        <x:v>16</x:v>
      </x:c>
      <x:c r="I101" s="29" t="n">
        <x:f>H101-G101</x:f>
        <x:v>16</x:v>
      </x:c>
    </x:row>
    <x:row r="102" ht="20" customHeight="1">
      <x:c r="A102" s="16" t="d">
        <x:v>2026-12-07T12:00:00.000Z</x:v>
      </x:c>
      <x:c r="B102" s="14" t="str">
        <x:v>Sprint 3</x:v>
      </x:c>
      <x:c r="C102" s="29" t="n">
        <x:v>2.5</x:v>
      </x:c>
      <x:c r="D102" s="29" t="n">
        <x:v>0</x:v>
      </x:c>
      <x:c r="E102" s="29" t="n">
        <x:v>0</x:v>
      </x:c>
      <x:c r="F102" s="29" t="n">
        <x:v>0</x:v>
      </x:c>
      <x:c r="G102" s="29" t="n">
        <x:f>SUM(C102:F102)</x:f>
        <x:v>2.5</x:v>
      </x:c>
      <x:c r="H102" s="29" t="n">
        <x:f>$E$3*4</x:f>
        <x:v>16</x:v>
      </x:c>
      <x:c r="I102" s="29" t="n">
        <x:f>H102-G102</x:f>
        <x:v>13.5</x:v>
      </x:c>
    </x:row>
    <x:row r="103" ht="20" customHeight="1">
      <x:c r="A103" s="16" t="d">
        <x:v>2026-12-08T12:00:00.000Z</x:v>
      </x:c>
      <x:c r="B103" s="14" t="str">
        <x:v>Sprint 3</x:v>
      </x:c>
      <x:c r="C103" s="29" t="n">
        <x:v>0</x:v>
      </x:c>
      <x:c r="D103" s="29" t="n">
        <x:v>0</x:v>
      </x:c>
      <x:c r="E103" s="29" t="n">
        <x:v>0</x:v>
      </x:c>
      <x:c r="F103" s="29" t="n">
        <x:v>0</x:v>
      </x:c>
      <x:c r="G103" s="29" t="n">
        <x:f>SUM(C103:F103)</x:f>
        <x:v>0</x:v>
      </x:c>
      <x:c r="H103" s="29" t="n">
        <x:f>$E$3*4</x:f>
        <x:v>16</x:v>
      </x:c>
      <x:c r="I103" s="29" t="n">
        <x:f>H103-G103</x:f>
        <x:v>16</x:v>
      </x:c>
    </x:row>
    <x:row r="104" ht="20" customHeight="1">
      <x:c r="A104" s="16" t="d">
        <x:v>2026-12-09T12:00:00.000Z</x:v>
      </x:c>
      <x:c r="B104" s="14" t="str">
        <x:v>Sprint 3</x:v>
      </x:c>
      <x:c r="C104" s="29" t="n">
        <x:v>0</x:v>
      </x:c>
      <x:c r="D104" s="29" t="n">
        <x:v>0</x:v>
      </x:c>
      <x:c r="E104" s="29" t="n">
        <x:v>0</x:v>
      </x:c>
      <x:c r="F104" s="29" t="n">
        <x:v>0</x:v>
      </x:c>
      <x:c r="G104" s="29" t="n">
        <x:f>SUM(C104:F104)</x:f>
        <x:v>0</x:v>
      </x:c>
      <x:c r="H104" s="29" t="n">
        <x:f>$E$3*4</x:f>
        <x:v>16</x:v>
      </x:c>
      <x:c r="I104" s="29" t="n">
        <x:f>H104-G104</x:f>
        <x:v>16</x:v>
      </x:c>
    </x:row>
    <x:row r="105" ht="20" customHeight="1">
      <x:c r="A105" s="16" t="d">
        <x:v>2026-12-10T12:00:00.000Z</x:v>
      </x:c>
      <x:c r="B105" s="14" t="str">
        <x:v>Sprint 3</x:v>
      </x:c>
      <x:c r="C105" s="29" t="n">
        <x:v>0</x:v>
      </x:c>
      <x:c r="D105" s="29" t="n">
        <x:v>0</x:v>
      </x:c>
      <x:c r="E105" s="29" t="n">
        <x:v>0</x:v>
      </x:c>
      <x:c r="F105" s="29" t="n">
        <x:v>0</x:v>
      </x:c>
      <x:c r="G105" s="29" t="n">
        <x:f>SUM(C105:F105)</x:f>
        <x:v>0</x:v>
      </x:c>
      <x:c r="H105" s="29" t="n">
        <x:f>$E$3*4</x:f>
        <x:v>16</x:v>
      </x:c>
      <x:c r="I105" s="29" t="n">
        <x:f>H105-G105</x:f>
        <x:v>16</x:v>
      </x:c>
    </x:row>
    <x:row r="106" ht="20" customHeight="1">
      <x:c r="A106" s="16" t="d">
        <x:v>2026-12-11T12:00:00.000Z</x:v>
      </x:c>
      <x:c r="B106" s="14" t="str">
        <x:v>Sprint 3</x:v>
      </x:c>
      <x:c r="C106" s="29" t="n">
        <x:v>0</x:v>
      </x:c>
      <x:c r="D106" s="29" t="n">
        <x:v>0</x:v>
      </x:c>
      <x:c r="E106" s="29" t="n">
        <x:v>0</x:v>
      </x:c>
      <x:c r="F106" s="29" t="n">
        <x:v>0</x:v>
      </x:c>
      <x:c r="G106" s="29" t="n">
        <x:f>SUM(C106:F106)</x:f>
        <x:v>0</x:v>
      </x:c>
      <x:c r="H106" s="29" t="n">
        <x:f>$E$3*4</x:f>
        <x:v>16</x:v>
      </x:c>
      <x:c r="I106" s="29" t="n">
        <x:f>H106-G106</x:f>
        <x:v>16</x:v>
      </x:c>
    </x:row>
  </x:sheetData>
  <x:conditionalFormatting sqref="C17:F106">
    <x:cfRule type="cellIs" dxfId="6" priority="1" operator="greaterThan">
      <x:formula>$E$3</x:formula>
    </x:cfRule>
  </x:conditionalFormatting>
  <x:pageMargins left="0.7" right="0.7" top="0.75" bottom="0.75" header="0.3" footer="0.3"/>
</x:worksheet>
</file>
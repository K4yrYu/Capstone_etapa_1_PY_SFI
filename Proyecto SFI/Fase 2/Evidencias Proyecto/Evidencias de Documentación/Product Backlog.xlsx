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360f13a4634d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 Backlog" sheetId="1" r:id="R151c5e532b694e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0"/>
  </x:numFmts>
  <x:fonts count="5">
    <x:font>
      <x:sz val="11"/>
      <x:name val="Carlito"/>
    </x:font>
    <x:font>
      <x:sz val="10"/>
      <x:color rgb="FF172B4D"/>
      <x:name val="Arial"/>
    </x:font>
    <x:font>
      <x:b/>
      <x:sz val="16"/>
      <x:color rgb="FF163A5F"/>
      <x:name val="Arial"/>
    </x:font>
    <x:font>
      <x:i/>
      <x:sz val="10"/>
      <x:color rgb="FF526477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63A5F"/>
      </x:patternFill>
    </x:fill>
    <x:fill>
      <x:patternFill patternType="solid">
        <x:fgColor rgb="FFF1F5F9"/>
      </x:patternFill>
    </x:fill>
    <x:fill>
      <x:patternFill patternType="solid">
        <x:fgColor rgb="FFFFF5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color rgb="FF14532D"/>
      </x:font>
      <x:fill>
        <x:patternFill>
          <x:bgColor rgb="FFDCF3E3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ee9968b1ba40e6" /><Relationship Type="http://schemas.openxmlformats.org/officeDocument/2006/relationships/theme" Target="/xl/theme/theme1.xml" Id="R5c17de20bed94312" /><Relationship Type="http://schemas.openxmlformats.org/officeDocument/2006/relationships/sharedStrings" Target="/xl/sharedStrings.xml" Id="R31e6f59365c74805" /><Relationship Type="http://schemas.openxmlformats.org/officeDocument/2006/relationships/worksheet" Target="/xl/worksheets/sheet1.xml" Id="R151c5e532b694e19" /></Relationships>
</file>

<file path=xl/tables/table1.xml><?xml version="1.0" encoding="utf-8"?>
<x:table xmlns:x="http://schemas.openxmlformats.org/spreadsheetml/2006/main" id="1" name="ProductBacklogSFI" displayName="ProductBacklogSFI" ref="A8:M73" headerRowCount="1" totalsRowCount="0" totalsRowShown="0">
  <x:autoFilter ref="A8:M73"/>
  <x:tableColumns count="13">
    <x:tableColumn id="1" name="ID"/>
    <x:tableColumn id="2" name="Épica"/>
    <x:tableColumn id="3" name="Tipo de PBI"/>
    <x:tableColumn id="4" name="Descripción"/>
    <x:tableColumn id="5" name="Prioridad"/>
    <x:tableColumn id="6" name="Story Points"/>
    <x:tableColumn id="7" name="Criterios de aceptación"/>
    <x:tableColumn id="8" name="Sprint"/>
    <x:tableColumn id="9" name="Responsable"/>
    <x:tableColumn id="10" name="Estado"/>
    <x:tableColumn id="11" name="Cumple DoD"/>
    <x:tableColumn id="12" name="Dependencias"/>
    <x:tableColumn id="13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8e19369bf164207" /></Relationships>
</file>

<file path=xl/worksheets/sheet1.xml><?xml version="1.0" encoding="utf-8"?>
<x:worksheet xmlns:x="http://schemas.openxmlformats.org/spreadsheetml/2006/main">
  <x:sheetPr>
    <x:tabColor rgb="FF163A5F"/>
  </x:sheetPr>
  <x:sheetViews>
    <x:sheetView showGridLines="0" workbookViewId="0">
      <x:pane xSplit="1" ySplit="8" topLeftCell="B9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23" hidden="0" customWidth="1"/>
    <x:col min="4" max="4" width="64" hidden="0" customWidth="1"/>
    <x:col min="5" max="5" width="16" hidden="0" customWidth="1"/>
    <x:col min="6" max="6" width="14" hidden="0" customWidth="1"/>
    <x:col min="7" max="7" width="72" hidden="0" customWidth="1"/>
    <x:col min="8" max="8" width="20" hidden="0" customWidth="1"/>
    <x:col min="9" max="9" width="27" hidden="0" customWidth="1"/>
    <x:col min="10" max="10" width="27" hidden="0" customWidth="1"/>
    <x:col min="11" max="11" width="18" hidden="0" customWidth="1"/>
    <x:col min="12" max="12" width="30" hidden="0" customWidth="1"/>
    <x:col min="13" max="13" width="5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>
      <x:c r="A2" s="3" t="str">
        <x:v>Product Backlog SFI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>
      <x:c r="A3" s="2" t="str">
        <x:v>Versión 2.0</x:v>
      </x:c>
      <x:c r="B3" s="2"/>
      <x:c r="C3" s="2" t="str">
        <x:v>Actualizado</x:v>
      </x:c>
      <x:c r="D3" s="4" t="d">
        <x:v>2026-10-03T12:00:00.000Z</x:v>
      </x:c>
      <x:c r="E3" s="2"/>
      <x:c r="F3" s="2"/>
      <x:c r="G3" s="2"/>
      <x:c r="H3" s="2"/>
      <x:c r="I3" s="2"/>
      <x:c r="J3" s="2"/>
      <x:c r="K3" s="2"/>
      <x:c r="L3" s="2"/>
      <x:c r="M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>
      <x:c r="A5" s="2" t="str">
        <x:v>Total PBIs</x:v>
      </x:c>
      <x:c r="B5" s="2" t="n">
        <x:f>COUNTA(A9:A73)</x:f>
        <x:v>65</x:v>
      </x:c>
      <x:c r="C5" s="2" t="str">
        <x:v>SP totales</x:v>
      </x:c>
      <x:c r="D5" s="2" t="n">
        <x:f>SUM(F9:F73)</x:f>
        <x:v>416</x:v>
      </x:c>
      <x:c r="E5" s="2" t="str">
        <x:v>Completados con DoD</x:v>
      </x:c>
      <x:c r="F5" s="2" t="n">
        <x:f>COUNTIFS(J9:J73,"Completado",K9:K73,"Sí")</x:f>
        <x:v>43</x:v>
      </x:c>
      <x:c r="G5" s="2"/>
      <x:c r="H5" s="2"/>
      <x:c r="I5" s="2"/>
      <x:c r="J5" s="2"/>
      <x:c r="K5" s="2"/>
      <x:c r="L5" s="2"/>
      <x:c r="M5" s="2"/>
    </x:row>
    <x:row r="6">
      <x:c r="A6" s="5" t="str">
        <x:v>Tres sprints de trabajo; preparación incluida en Sprint 1. Seguimiento mediante weekly los jueves.</x:v>
      </x:c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>
      <x:c r="A7" s="5" t="str">
        <x:v>Estados sujetos a evidencia. SP = estimación relativa; no representa horas.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36" customHeight="1">
      <x:c r="A8" s="9" t="str">
        <x:v>ID</x:v>
      </x:c>
      <x:c r="B8" s="9" t="str">
        <x:v>Épica</x:v>
      </x:c>
      <x:c r="C8" s="9" t="str">
        <x:v>Tipo de PBI</x:v>
      </x:c>
      <x:c r="D8" s="9" t="str">
        <x:v>Descripción</x:v>
      </x:c>
      <x:c r="E8" s="9" t="str">
        <x:v>Prioridad</x:v>
      </x:c>
      <x:c r="F8" s="9" t="str">
        <x:v>Story Points</x:v>
      </x:c>
      <x:c r="G8" s="9" t="str">
        <x:v>Criterios de aceptación</x:v>
      </x:c>
      <x:c r="H8" s="9" t="str">
        <x:v>Sprint</x:v>
      </x:c>
      <x:c r="I8" s="9" t="str">
        <x:v>Responsable</x:v>
      </x:c>
      <x:c r="J8" s="9" t="str">
        <x:v>Estado</x:v>
      </x:c>
      <x:c r="K8" s="9" t="str">
        <x:v>Cumple DoD</x:v>
      </x:c>
      <x:c r="L8" s="9" t="str">
        <x:v>Dependencias</x:v>
      </x:c>
      <x:c r="M8" s="9" t="str">
        <x:v>Observaciones</x:v>
      </x:c>
    </x:row>
    <x:row r="9" ht="36" customHeight="1">
      <x:c r="A9" s="6" t="str">
        <x:v>TA-001</x:v>
      </x:c>
      <x:c r="B9" s="6" t="str">
        <x:v>Inicio del proyecto</x:v>
      </x:c>
      <x:c r="C9" s="6" t="str">
        <x:v>Tarea de gestión</x:v>
      </x:c>
      <x:c r="D9" s="6" t="str">
        <x:v>Definir el Product Goal, el problema y la propuesta de valor de SFI.</x:v>
      </x:c>
      <x:c r="E9" s="11" t="str">
        <x:v>Crítica</x:v>
      </x:c>
      <x:c r="F9" s="12" t="n">
        <x:v>3</x:v>
      </x:c>
      <x:c r="G9" s="6" t="str">
        <x:v>Product Goal redactado; problema y valor identificados; aprobación del Product Owner.</x:v>
      </x:c>
      <x:c r="H9" s="11" t="str">
        <x:v>Sprint 1</x:v>
      </x:c>
      <x:c r="I9" s="11" t="str">
        <x:v>Felipe / Todo el equipo</x:v>
      </x:c>
      <x:c r="J9" s="11" t="str">
        <x:v>Completado</x:v>
      </x:c>
      <x:c r="K9" s="11" t="str">
        <x:v>Sí</x:v>
      </x:c>
      <x:c r="L9" s="6" t="str">
        <x:v>Ninguna</x:v>
      </x:c>
      <x:c r="M9" s="6"/>
    </x:row>
    <x:row r="10" ht="36" customHeight="1">
      <x:c r="A10" s="10" t="str">
        <x:v>TA-002</x:v>
      </x:c>
      <x:c r="B10" s="10" t="str">
        <x:v>Inicio del proyecto</x:v>
      </x:c>
      <x:c r="C10" s="10" t="str">
        <x:v>Tarea de gestión</x:v>
      </x:c>
      <x:c r="D10" s="10" t="str">
        <x:v>Identificar usuarios, stakeholders y responsabilidades del equipo Scrum.</x:v>
      </x:c>
      <x:c r="E10" s="11" t="str">
        <x:v>Alta</x:v>
      </x:c>
      <x:c r="F10" s="12" t="n">
        <x:v>2</x:v>
      </x:c>
      <x:c r="G10" s="10" t="str">
        <x:v>Usuarios y stakeholders registrados; roles Scrum asignados; responsabilidades comunicadas.</x:v>
      </x:c>
      <x:c r="H10" s="11" t="str">
        <x:v>Sprint 1</x:v>
      </x:c>
      <x:c r="I10" s="11" t="str">
        <x:v>Felipe / Franco</x:v>
      </x:c>
      <x:c r="J10" s="11" t="str">
        <x:v>Completado</x:v>
      </x:c>
      <x:c r="K10" s="11" t="str">
        <x:v>Sí</x:v>
      </x:c>
      <x:c r="L10" s="10" t="str">
        <x:v>TA-001</x:v>
      </x:c>
      <x:c r="M10" s="10"/>
    </x:row>
    <x:row r="11" ht="36" customHeight="1">
      <x:c r="A11" s="6" t="str">
        <x:v>TA-003</x:v>
      </x:c>
      <x:c r="B11" s="6" t="str">
        <x:v>Gestión Scrum</x:v>
      </x:c>
      <x:c r="C11" s="6" t="str">
        <x:v>Tarea de gestión</x:v>
      </x:c>
      <x:c r="D11" s="6" t="str">
        <x:v>Crear y priorizar el Product Backlog inicial del proyecto.</x:v>
      </x:c>
      <x:c r="E11" s="11" t="str">
        <x:v>Crítica</x:v>
      </x:c>
      <x:c r="F11" s="12" t="n">
        <x:v>5</x:v>
      </x:c>
      <x:c r="G11" s="6" t="str">
        <x:v>PBIs identificados; prioridades asignadas; distribución en tres sprints definida; backlog revisado por el equipo.</x:v>
      </x:c>
      <x:c r="H11" s="11" t="str">
        <x:v>Sprint 1</x:v>
      </x:c>
      <x:c r="I11" s="11" t="str">
        <x:v>Felipe / Franco</x:v>
      </x:c>
      <x:c r="J11" s="11" t="str">
        <x:v>Completado</x:v>
      </x:c>
      <x:c r="K11" s="11" t="str">
        <x:v>Sí</x:v>
      </x:c>
      <x:c r="L11" s="6" t="str">
        <x:v>TA-001, TA-002</x:v>
      </x:c>
      <x:c r="M11" s="6"/>
    </x:row>
    <x:row r="12" ht="36" customHeight="1">
      <x:c r="A12" s="10" t="str">
        <x:v>TA-004</x:v>
      </x:c>
      <x:c r="B12" s="10" t="str">
        <x:v>Gestión Scrum</x:v>
      </x:c>
      <x:c r="C12" s="10" t="str">
        <x:v>Tarea de gestión</x:v>
      </x:c>
      <x:c r="D12" s="10" t="str">
        <x:v>Definir criterios de terminado y aceptación, riesgos y seguimiento mediante weeklys.</x:v>
      </x:c>
      <x:c r="E12" s="11" t="str">
        <x:v>Alta</x:v>
      </x:c>
      <x:c r="F12" s="12" t="n">
        <x:v>3</x:v>
      </x:c>
      <x:c r="G12" s="10" t="str">
        <x:v>DoD documentada; weekly de los jueves definida; riesgos y acuerdos de comunicación registrados.</x:v>
      </x:c>
      <x:c r="H12" s="11" t="str">
        <x:v>Sprint 1</x:v>
      </x:c>
      <x:c r="I12" s="11" t="str">
        <x:v>Franco / Todo el equipo</x:v>
      </x:c>
      <x:c r="J12" s="11" t="str">
        <x:v>Completado</x:v>
      </x:c>
      <x:c r="K12" s="11" t="str">
        <x:v>Sí</x:v>
      </x:c>
      <x:c r="L12" s="10" t="str">
        <x:v>TA-002</x:v>
      </x:c>
      <x:c r="M12" s="10"/>
    </x:row>
    <x:row r="13" ht="36" customHeight="1">
      <x:c r="A13" s="6" t="str">
        <x:v>TA-005</x:v>
      </x:c>
      <x:c r="B13" s="6" t="str">
        <x:v>Arquitectura</x:v>
      </x:c>
      <x:c r="C13" s="6" t="str">
        <x:v>Tarea técnica</x:v>
      </x:c>
      <x:c r="D13" s="6" t="str">
        <x:v>Configurar el proyecto Django, la base de datos y el ambiente de desarrollo compartido.</x:v>
      </x:c>
      <x:c r="E13" s="11" t="str">
        <x:v>Crítica</x:v>
      </x:c>
      <x:c r="F13" s="12" t="n">
        <x:v>5</x:v>
      </x:c>
      <x:c r="G13" s="6" t="str">
        <x:v>Proyecto ejecutable; conexión a base de datos operativa; dependencias documentadas; instalación reproducible.</x:v>
      </x:c>
      <x:c r="H13" s="11" t="str">
        <x:v>Sprint 1</x:v>
      </x:c>
      <x:c r="I13" s="11" t="str">
        <x:v>Alonso</x:v>
      </x:c>
      <x:c r="J13" s="11" t="str">
        <x:v>Completado</x:v>
      </x:c>
      <x:c r="K13" s="11" t="str">
        <x:v>Sí</x:v>
      </x:c>
      <x:c r="L13" s="6" t="str">
        <x:v>TA-003</x:v>
      </x:c>
      <x:c r="M13" s="6"/>
    </x:row>
    <x:row r="14" ht="36" customHeight="1">
      <x:c r="A14" s="10" t="str">
        <x:v>TA-006</x:v>
      </x:c>
      <x:c r="B14" s="10" t="str">
        <x:v>Arquitectura</x:v>
      </x:c>
      <x:c r="C14" s="10" t="str">
        <x:v>Tarea técnica</x:v>
      </x:c>
      <x:c r="D14" s="10" t="str">
        <x:v>Definir la estructura modular, rutas, configuraciones y estándares técnicos.</x:v>
      </x:c>
      <x:c r="E14" s="11" t="str">
        <x:v>Alta</x:v>
      </x:c>
      <x:c r="F14" s="12" t="n">
        <x:v>5</x:v>
      </x:c>
      <x:c r="G14" s="10" t="str">
        <x:v>Módulos separados; rutas base disponibles; configuración por ambiente; convenciones acordadas.</x:v>
      </x:c>
      <x:c r="H14" s="11" t="str">
        <x:v>Sprint 1</x:v>
      </x:c>
      <x:c r="I14" s="11" t="str">
        <x:v>Alonso / Franco</x:v>
      </x:c>
      <x:c r="J14" s="11" t="str">
        <x:v>Completado</x:v>
      </x:c>
      <x:c r="K14" s="11" t="str">
        <x:v>Sí</x:v>
      </x:c>
      <x:c r="L14" s="10" t="str">
        <x:v>TA-005</x:v>
      </x:c>
      <x:c r="M14" s="10"/>
    </x:row>
    <x:row r="15" ht="36" customHeight="1">
      <x:c r="A15" s="6" t="str">
        <x:v>HU-001</x:v>
      </x:c>
      <x:c r="B15" s="6" t="str">
        <x:v>Experiencia transversal</x:v>
      </x:c>
      <x:c r="C15" s="6" t="str">
        <x:v>Historia de usuario</x:v>
      </x:c>
      <x:c r="D15" s="6" t="str">
        <x:v>Como usuario, quiero una navegación base clara y adaptable para recorrer la plataforma desde distintos dispositivos.</x:v>
      </x:c>
      <x:c r="E15" s="11" t="str">
        <x:v>Alta</x:v>
      </x:c>
      <x:c r="F15" s="12" t="n">
        <x:v>5</x:v>
      </x:c>
      <x:c r="G15" s="6" t="str">
        <x:v>Página inicial disponible; navegación funcional; componentes base reutilizables; diseño responsive.</x:v>
      </x:c>
      <x:c r="H15" s="11" t="str">
        <x:v>Sprint 1</x:v>
      </x:c>
      <x:c r="I15" s="11" t="str">
        <x:v>Vicente</x:v>
      </x:c>
      <x:c r="J15" s="11" t="str">
        <x:v>Completado</x:v>
      </x:c>
      <x:c r="K15" s="11" t="str">
        <x:v>Sí</x:v>
      </x:c>
      <x:c r="L15" s="6" t="str">
        <x:v>TA-005</x:v>
      </x:c>
      <x:c r="M15" s="6"/>
    </x:row>
    <x:row r="16" ht="36" customHeight="1">
      <x:c r="A16" s="10" t="str">
        <x:v>HU-002</x:v>
      </x:c>
      <x:c r="B16" s="10" t="str">
        <x:v>Usuarios</x:v>
      </x:c>
      <x:c r="C16" s="10" t="str">
        <x:v>Historia de usuario</x:v>
      </x:c>
      <x:c r="D16" s="10" t="str">
        <x:v>Como cliente, quiero registrarme e iniciar sesión para acceder a mis compras y funciones personales.</x:v>
      </x:c>
      <x:c r="E16" s="11" t="str">
        <x:v>Crítica</x:v>
      </x:c>
      <x:c r="F16" s="12" t="n">
        <x:v>5</x:v>
      </x:c>
      <x:c r="G16" s="10" t="str">
        <x:v>Registro válido; correo único; inicio y cierre de sesión; mensajes ante datos incorrectos.</x:v>
      </x:c>
      <x:c r="H16" s="11" t="str">
        <x:v>Sprint 1</x:v>
      </x:c>
      <x:c r="I16" s="11" t="str">
        <x:v>Alonso / Vicente</x:v>
      </x:c>
      <x:c r="J16" s="11" t="str">
        <x:v>Completado</x:v>
      </x:c>
      <x:c r="K16" s="11" t="str">
        <x:v>Sí</x:v>
      </x:c>
      <x:c r="L16" s="10" t="str">
        <x:v>TA-005</x:v>
      </x:c>
      <x:c r="M16" s="10"/>
    </x:row>
    <x:row r="17" ht="36" customHeight="1">
      <x:c r="A17" s="6" t="str">
        <x:v>HU-003</x:v>
      </x:c>
      <x:c r="B17" s="6" t="str">
        <x:v>Usuarios</x:v>
      </x:c>
      <x:c r="C17" s="6" t="str">
        <x:v>Historia de usuario</x:v>
      </x:c>
      <x:c r="D17" s="6" t="str">
        <x:v>Como cliente, quiero recuperar mi contraseña para volver a acceder si la olvido.</x:v>
      </x:c>
      <x:c r="E17" s="11" t="str">
        <x:v>Alta</x:v>
      </x:c>
      <x:c r="F17" s="12" t="n">
        <x:v>3</x:v>
      </x:c>
      <x:c r="G17" s="6" t="str">
        <x:v>Solicitud por correo; enlace temporal; cambio de contraseña; confirmación al usuario.</x:v>
      </x:c>
      <x:c r="H17" s="11" t="str">
        <x:v>Sprint 1</x:v>
      </x:c>
      <x:c r="I17" s="11" t="str">
        <x:v>Alonso</x:v>
      </x:c>
      <x:c r="J17" s="11" t="str">
        <x:v>Completado</x:v>
      </x:c>
      <x:c r="K17" s="11" t="str">
        <x:v>Sí</x:v>
      </x:c>
      <x:c r="L17" s="6" t="str">
        <x:v>HU-002</x:v>
      </x:c>
      <x:c r="M17" s="6"/>
    </x:row>
    <x:row r="18" ht="36" customHeight="1">
      <x:c r="A18" s="10" t="str">
        <x:v>HU-004</x:v>
      </x:c>
      <x:c r="B18" s="10" t="str">
        <x:v>Usuarios</x:v>
      </x:c>
      <x:c r="C18" s="10" t="str">
        <x:v>Historia de usuario</x:v>
      </x:c>
      <x:c r="D18" s="10" t="str">
        <x:v>Como administrador, quiero asignar roles y permisos para controlar el acceso a las funciones del sistema.</x:v>
      </x:c>
      <x:c r="E18" s="11" t="str">
        <x:v>Crítica</x:v>
      </x:c>
      <x:c r="F18" s="12" t="n">
        <x:v>5</x:v>
      </x:c>
      <x:c r="G18" s="10" t="str">
        <x:v>Roles diferenciados; accesos protegidos; usuarios no autorizados bloqueados; pruebas de permisos aprobadas.</x:v>
      </x:c>
      <x:c r="H18" s="11" t="str">
        <x:v>Sprint 1</x:v>
      </x:c>
      <x:c r="I18" s="11" t="str">
        <x:v>Alonso / Franco</x:v>
      </x:c>
      <x:c r="J18" s="11" t="str">
        <x:v>Completado</x:v>
      </x:c>
      <x:c r="K18" s="11" t="str">
        <x:v>Sí</x:v>
      </x:c>
      <x:c r="L18" s="10" t="str">
        <x:v>HU-002</x:v>
      </x:c>
      <x:c r="M18" s="10"/>
    </x:row>
    <x:row r="19" ht="36" customHeight="1">
      <x:c r="A19" s="6" t="str">
        <x:v>HU-005</x:v>
      </x:c>
      <x:c r="B19" s="6" t="str">
        <x:v>Usuarios</x:v>
      </x:c>
      <x:c r="C19" s="6" t="str">
        <x:v>Historia de usuario</x:v>
      </x:c>
      <x:c r="D19" s="6" t="str">
        <x:v>Como usuario, quiero consultar y actualizar los datos de mi cuenta para mantener mi información vigente.</x:v>
      </x:c>
      <x:c r="E19" s="11" t="str">
        <x:v>Media</x:v>
      </x:c>
      <x:c r="F19" s="12" t="n">
        <x:v>3</x:v>
      </x:c>
      <x:c r="G19" s="6" t="str">
        <x:v>Datos visibles; campos editables validados; cambios persistentes; mensajes de confirmación.</x:v>
      </x:c>
      <x:c r="H19" s="11" t="str">
        <x:v>Sprint 1</x:v>
      </x:c>
      <x:c r="I19" s="11" t="str">
        <x:v>Vicente / Alonso</x:v>
      </x:c>
      <x:c r="J19" s="11" t="str">
        <x:v>Completado</x:v>
      </x:c>
      <x:c r="K19" s="11" t="str">
        <x:v>Sí</x:v>
      </x:c>
      <x:c r="L19" s="6" t="str">
        <x:v>HU-002</x:v>
      </x:c>
      <x:c r="M19" s="6"/>
    </x:row>
    <x:row r="20" ht="36" customHeight="1">
      <x:c r="A20" s="10" t="str">
        <x:v>HU-046</x:v>
      </x:c>
      <x:c r="B20" s="10" t="str">
        <x:v>Kardex</x:v>
      </x:c>
      <x:c r="C20" s="10" t="str">
        <x:v>Historia de usuario</x:v>
      </x:c>
      <x:c r="D20" s="10" t="str">
        <x:v>Como encargado de bodega, quiero consultar entradas, salidas y ajustes por producto para reconstruir el saldo de inventario.</x:v>
      </x:c>
      <x:c r="E20" s="11" t="str">
        <x:v>Crítica</x:v>
      </x:c>
      <x:c r="F20" s="12" t="n">
        <x:v>8</x:v>
      </x:c>
      <x:c r="G20" s="10" t="str">
        <x:v>Cada movimiento registra producto, tipo, cantidad, fecha, usuario y referencia; saldo conciliable; correcciones mediante movimiento de ajuste.</x:v>
      </x:c>
      <x:c r="H20" s="11" t="str">
        <x:v>Sprint 2</x:v>
      </x:c>
      <x:c r="I20" s="11" t="str">
        <x:v>Alonso / Franco</x:v>
      </x:c>
      <x:c r="J20" s="11" t="str">
        <x:v>Pendiente de verificación</x:v>
      </x:c>
      <x:c r="K20" s="11" t="str">
        <x:v>Por verificar</x:v>
      </x:c>
      <x:c r="L20" s="10" t="str">
        <x:v>HU-008, HU-010</x:v>
      </x:c>
      <x:c r="M20" s="10" t="str">
        <x:v>Alcance incorporado al Sprint 2; aceptación pendiente de evidencia.</x:v>
      </x:c>
    </x:row>
    <x:row r="21" ht="36" customHeight="1">
      <x:c r="A21" s="6" t="str">
        <x:v>HU-006</x:v>
      </x:c>
      <x:c r="B21" s="6" t="str">
        <x:v>Catálogo</x:v>
      </x:c>
      <x:c r="C21" s="6" t="str">
        <x:v>Historia de usuario</x:v>
      </x:c>
      <x:c r="D21" s="6" t="str">
        <x:v>Como cliente, quiero buscar y filtrar productos para encontrar rápidamente lo que necesito.</x:v>
      </x:c>
      <x:c r="E21" s="11" t="str">
        <x:v>Crítica</x:v>
      </x:c>
      <x:c r="F21" s="12" t="n">
        <x:v>8</x:v>
      </x:c>
      <x:c r="G21" s="6" t="str">
        <x:v>Listado paginado; búsqueda por texto; filtros por categoría; solo productos publicados visibles.</x:v>
      </x:c>
      <x:c r="H21" s="11" t="str">
        <x:v>Sprint 1</x:v>
      </x:c>
      <x:c r="I21" s="11" t="str">
        <x:v>Alonso / Vicente</x:v>
      </x:c>
      <x:c r="J21" s="11" t="str">
        <x:v>Completado</x:v>
      </x:c>
      <x:c r="K21" s="11" t="str">
        <x:v>Sí</x:v>
      </x:c>
      <x:c r="L21" s="6" t="str">
        <x:v>HU-001</x:v>
      </x:c>
      <x:c r="M21" s="6"/>
    </x:row>
    <x:row r="22" ht="36" customHeight="1">
      <x:c r="A22" s="10" t="str">
        <x:v>HU-007</x:v>
      </x:c>
      <x:c r="B22" s="10" t="str">
        <x:v>Catálogo</x:v>
      </x:c>
      <x:c r="C22" s="10" t="str">
        <x:v>Historia de usuario</x:v>
      </x:c>
      <x:c r="D22" s="10" t="str">
        <x:v>Como cliente, quiero revisar la ficha de un producto para conocer precio, imágenes, stock y características.</x:v>
      </x:c>
      <x:c r="E22" s="11" t="str">
        <x:v>Crítica</x:v>
      </x:c>
      <x:c r="F22" s="12" t="n">
        <x:v>5</x:v>
      </x:c>
      <x:c r="G22" s="10" t="str">
        <x:v>Ficha completa; imágenes visibles; precio y oferta correctos; disponibilidad informada.</x:v>
      </x:c>
      <x:c r="H22" s="11" t="str">
        <x:v>Sprint 1</x:v>
      </x:c>
      <x:c r="I22" s="11" t="str">
        <x:v>Vicente / Alonso</x:v>
      </x:c>
      <x:c r="J22" s="11" t="str">
        <x:v>Completado</x:v>
      </x:c>
      <x:c r="K22" s="11" t="str">
        <x:v>Sí</x:v>
      </x:c>
      <x:c r="L22" s="10" t="str">
        <x:v>HU-006</x:v>
      </x:c>
      <x:c r="M22" s="10"/>
    </x:row>
    <x:row r="23" ht="36" customHeight="1">
      <x:c r="A23" s="6" t="str">
        <x:v>HU-008</x:v>
      </x:c>
      <x:c r="B23" s="6" t="str">
        <x:v>Catálogo</x:v>
      </x:c>
      <x:c r="C23" s="6" t="str">
        <x:v>Historia de usuario</x:v>
      </x:c>
      <x:c r="D23" s="6" t="str">
        <x:v>Como administrador, quiero crear y editar productos para mantener actualizado el catálogo.</x:v>
      </x:c>
      <x:c r="E23" s="11" t="str">
        <x:v>Crítica</x:v>
      </x:c>
      <x:c r="F23" s="12" t="n">
        <x:v>8</x:v>
      </x:c>
      <x:c r="G23" s="6" t="str">
        <x:v>Alta y edición disponibles; imágenes cargables; datos obligatorios validados; publicación controlada.</x:v>
      </x:c>
      <x:c r="H23" s="11" t="str">
        <x:v>Sprint 1</x:v>
      </x:c>
      <x:c r="I23" s="11" t="str">
        <x:v>Alonso / Vicente</x:v>
      </x:c>
      <x:c r="J23" s="11" t="str">
        <x:v>Completado</x:v>
      </x:c>
      <x:c r="K23" s="11" t="str">
        <x:v>Sí</x:v>
      </x:c>
      <x:c r="L23" s="6" t="str">
        <x:v>HU-004</x:v>
      </x:c>
      <x:c r="M23" s="6"/>
    </x:row>
    <x:row r="24" ht="36" customHeight="1">
      <x:c r="A24" s="10" t="str">
        <x:v>HU-009</x:v>
      </x:c>
      <x:c r="B24" s="10" t="str">
        <x:v>Catálogo</x:v>
      </x:c>
      <x:c r="C24" s="10" t="str">
        <x:v>Historia de usuario</x:v>
      </x:c>
      <x:c r="D24" s="10" t="str">
        <x:v>Como administrador, quiero gestionar categorías y ofertas para organizar y promocionar productos.</x:v>
      </x:c>
      <x:c r="E24" s="11" t="str">
        <x:v>Alta</x:v>
      </x:c>
      <x:c r="F24" s="12" t="n">
        <x:v>5</x:v>
      </x:c>
      <x:c r="G24" s="10" t="str">
        <x:v>Categorías administrables; ofertas con vigencia; precios coherentes; cambios visibles en catálogo.</x:v>
      </x:c>
      <x:c r="H24" s="11" t="str">
        <x:v>Sprint 1</x:v>
      </x:c>
      <x:c r="I24" s="11" t="str">
        <x:v>Alonso</x:v>
      </x:c>
      <x:c r="J24" s="11" t="str">
        <x:v>Completado</x:v>
      </x:c>
      <x:c r="K24" s="11" t="str">
        <x:v>Sí</x:v>
      </x:c>
      <x:c r="L24" s="10" t="str">
        <x:v>HU-008</x:v>
      </x:c>
      <x:c r="M24" s="10"/>
    </x:row>
    <x:row r="25" ht="36" customHeight="1">
      <x:c r="A25" s="6" t="str">
        <x:v>HU-010</x:v>
      </x:c>
      <x:c r="B25" s="6" t="str">
        <x:v>Inventario</x:v>
      </x:c>
      <x:c r="C25" s="6" t="str">
        <x:v>Historia de usuario</x:v>
      </x:c>
      <x:c r="D25" s="6" t="str">
        <x:v>Como administrador, quiero controlar las existencias para evitar ventas sin disponibilidad.</x:v>
      </x:c>
      <x:c r="E25" s="11" t="str">
        <x:v>Crítica</x:v>
      </x:c>
      <x:c r="F25" s="12" t="n">
        <x:v>8</x:v>
      </x:c>
      <x:c r="G25" s="6" t="str">
        <x:v>Stock consultable y editable; movimientos registrados; valores negativos bloqueados; alertas por stock bajo.</x:v>
      </x:c>
      <x:c r="H25" s="11" t="str">
        <x:v>Sprint 2</x:v>
      </x:c>
      <x:c r="I25" s="11" t="str">
        <x:v>Alonso / Franco</x:v>
      </x:c>
      <x:c r="J25" s="11" t="str">
        <x:v>Completado</x:v>
      </x:c>
      <x:c r="K25" s="11" t="str">
        <x:v>Sí</x:v>
      </x:c>
      <x:c r="L25" s="6" t="str">
        <x:v>HU-008</x:v>
      </x:c>
      <x:c r="M25" s="6"/>
    </x:row>
    <x:row r="26" ht="36" customHeight="1">
      <x:c r="A26" s="10" t="str">
        <x:v>HU-011</x:v>
      </x:c>
      <x:c r="B26" s="10" t="str">
        <x:v>Abastecimiento</x:v>
      </x:c>
      <x:c r="C26" s="10" t="str">
        <x:v>Historia de usuario</x:v>
      </x:c>
      <x:c r="D26" s="10" t="str">
        <x:v>Como administrador, quiero registrar proveedores e historial de precios para gestionar el abastecimiento.</x:v>
      </x:c>
      <x:c r="E26" s="11" t="str">
        <x:v>Alta</x:v>
      </x:c>
      <x:c r="F26" s="12" t="n">
        <x:v>5</x:v>
      </x:c>
      <x:c r="G26" s="10" t="str">
        <x:v>Proveedores administrables; productos asociados; historial de precios; datos de contacto validados.</x:v>
      </x:c>
      <x:c r="H26" s="11" t="str">
        <x:v>Sprint 2</x:v>
      </x:c>
      <x:c r="I26" s="11" t="str">
        <x:v>Alonso</x:v>
      </x:c>
      <x:c r="J26" s="11" t="str">
        <x:v>Completado</x:v>
      </x:c>
      <x:c r="K26" s="11" t="str">
        <x:v>Sí</x:v>
      </x:c>
      <x:c r="L26" s="10" t="str">
        <x:v>HU-008</x:v>
      </x:c>
      <x:c r="M26" s="10"/>
    </x:row>
    <x:row r="27" ht="36" customHeight="1">
      <x:c r="A27" s="6" t="str">
        <x:v>HU-012</x:v>
      </x:c>
      <x:c r="B27" s="6" t="str">
        <x:v>Abastecimiento</x:v>
      </x:c>
      <x:c r="C27" s="6" t="str">
        <x:v>Historia de usuario</x:v>
      </x:c>
      <x:c r="D27" s="6" t="str">
        <x:v>Como administrador, quiero generar solicitudes de reposición para recuperar productos con stock bajo.</x:v>
      </x:c>
      <x:c r="E27" s="11" t="str">
        <x:v>Alta</x:v>
      </x:c>
      <x:c r="F27" s="12" t="n">
        <x:v>5</x:v>
      </x:c>
      <x:c r="G27" s="6" t="str">
        <x:v>Productos bajo mínimo identificados; solicitud creada; estado controlado; recepción actualiza existencias.</x:v>
      </x:c>
      <x:c r="H27" s="11" t="str">
        <x:v>Sprint 2</x:v>
      </x:c>
      <x:c r="I27" s="11" t="str">
        <x:v>Alonso / Vicente</x:v>
      </x:c>
      <x:c r="J27" s="11" t="str">
        <x:v>Completado</x:v>
      </x:c>
      <x:c r="K27" s="11" t="str">
        <x:v>Sí</x:v>
      </x:c>
      <x:c r="L27" s="6" t="str">
        <x:v>HU-010, HU-011</x:v>
      </x:c>
      <x:c r="M27" s="6"/>
    </x:row>
    <x:row r="28" ht="36" customHeight="1">
      <x:c r="A28" s="10" t="str">
        <x:v>HU-013</x:v>
      </x:c>
      <x:c r="B28" s="10" t="str">
        <x:v>Carrito</x:v>
      </x:c>
      <x:c r="C28" s="10" t="str">
        <x:v>Historia de usuario</x:v>
      </x:c>
      <x:c r="D28" s="10" t="str">
        <x:v>Como cliente, quiero agregar y eliminar productos del carrito para preparar mi compra.</x:v>
      </x:c>
      <x:c r="E28" s="11" t="str">
        <x:v>Crítica</x:v>
      </x:c>
      <x:c r="F28" s="12" t="n">
        <x:v>5</x:v>
      </x:c>
      <x:c r="G28" s="10" t="str">
        <x:v>Agregar desde catálogo y ficha; eliminar producto; carrito asociado a sesión; contenido persistente.</x:v>
      </x:c>
      <x:c r="H28" s="11" t="str">
        <x:v>Sprint 1</x:v>
      </x:c>
      <x:c r="I28" s="11" t="str">
        <x:v>Alonso / Vicente</x:v>
      </x:c>
      <x:c r="J28" s="11" t="str">
        <x:v>Completado</x:v>
      </x:c>
      <x:c r="K28" s="11" t="str">
        <x:v>Sí</x:v>
      </x:c>
      <x:c r="L28" s="10" t="str">
        <x:v>HU-006, HU-007</x:v>
      </x:c>
      <x:c r="M28" s="10"/>
    </x:row>
    <x:row r="29" ht="36" customHeight="1">
      <x:c r="A29" s="6" t="str">
        <x:v>HU-014</x:v>
      </x:c>
      <x:c r="B29" s="6" t="str">
        <x:v>Carrito</x:v>
      </x:c>
      <x:c r="C29" s="6" t="str">
        <x:v>Historia de usuario</x:v>
      </x:c>
      <x:c r="D29" s="6" t="str">
        <x:v>Como cliente, quiero modificar cantidades y revisar totales para controlar el costo de mi compra.</x:v>
      </x:c>
      <x:c r="E29" s="11" t="str">
        <x:v>Crítica</x:v>
      </x:c>
      <x:c r="F29" s="12" t="n">
        <x:v>5</x:v>
      </x:c>
      <x:c r="G29" s="6" t="str">
        <x:v>Cantidades actualizables; subtotales y total correctos; límites validados; interfaz clara.</x:v>
      </x:c>
      <x:c r="H29" s="11" t="str">
        <x:v>Sprint 1</x:v>
      </x:c>
      <x:c r="I29" s="11" t="str">
        <x:v>Alonso / Vicente</x:v>
      </x:c>
      <x:c r="J29" s="11" t="str">
        <x:v>Completado</x:v>
      </x:c>
      <x:c r="K29" s="11" t="str">
        <x:v>Sí</x:v>
      </x:c>
      <x:c r="L29" s="6" t="str">
        <x:v>HU-013</x:v>
      </x:c>
      <x:c r="M29" s="6"/>
    </x:row>
    <x:row r="30" ht="36" customHeight="1">
      <x:c r="A30" s="10" t="str">
        <x:v>HU-015</x:v>
      </x:c>
      <x:c r="B30" s="10" t="str">
        <x:v>Carrito</x:v>
      </x:c>
      <x:c r="C30" s="10" t="str">
        <x:v>Historia de usuario</x:v>
      </x:c>
      <x:c r="D30" s="10" t="str">
        <x:v>Como cliente, quiero que el carrito valide el stock disponible para evitar solicitar cantidades que no puedan venderse.</x:v>
      </x:c>
      <x:c r="E30" s="11" t="str">
        <x:v>Crítica</x:v>
      </x:c>
      <x:c r="F30" s="12" t="n">
        <x:v>5</x:v>
      </x:c>
      <x:c r="G30" s="10" t="str">
        <x:v>Validación al agregar y actualizar; mensaje de falta de stock; carrito corregible; stock no reservado erróneamente.</x:v>
      </x:c>
      <x:c r="H30" s="11" t="str">
        <x:v>Sprint 1</x:v>
      </x:c>
      <x:c r="I30" s="11" t="str">
        <x:v>Alonso / Franco</x:v>
      </x:c>
      <x:c r="J30" s="11" t="str">
        <x:v>Completado</x:v>
      </x:c>
      <x:c r="K30" s="11" t="str">
        <x:v>Sí</x:v>
      </x:c>
      <x:c r="L30" s="10" t="str">
        <x:v>HU-008, HU-014</x:v>
      </x:c>
      <x:c r="M30" s="10" t="str">
        <x:v>Alcance incorporado al Sprint 2; aceptación pendiente de evidencia.</x:v>
      </x:c>
    </x:row>
    <x:row r="31" ht="36" customHeight="1">
      <x:c r="A31" s="6" t="str">
        <x:v>HU-016</x:v>
      </x:c>
      <x:c r="B31" s="6" t="str">
        <x:v>Ventas</x:v>
      </x:c>
      <x:c r="C31" s="6" t="str">
        <x:v>Historia de usuario</x:v>
      </x:c>
      <x:c r="D31" s="6" t="str">
        <x:v>Como cliente, quiero confirmar el carrito y generar una venta para continuar con el pago.</x:v>
      </x:c>
      <x:c r="E31" s="11" t="str">
        <x:v>Crítica</x:v>
      </x:c>
      <x:c r="F31" s="12" t="n">
        <x:v>8</x:v>
      </x:c>
      <x:c r="G31" s="6" t="str">
        <x:v>Venta y detalle creados; precios conservados; carrito validado; estado inicial asignado.</x:v>
      </x:c>
      <x:c r="H31" s="11" t="str">
        <x:v>Sprint 1</x:v>
      </x:c>
      <x:c r="I31" s="11" t="str">
        <x:v>Alonso</x:v>
      </x:c>
      <x:c r="J31" s="11" t="str">
        <x:v>Completado</x:v>
      </x:c>
      <x:c r="K31" s="11" t="str">
        <x:v>Sí</x:v>
      </x:c>
      <x:c r="L31" s="6" t="str">
        <x:v>HU-014, HU-015</x:v>
      </x:c>
      <x:c r="M31" s="6"/>
    </x:row>
    <x:row r="32" ht="36" customHeight="1">
      <x:c r="A32" s="10" t="str">
        <x:v>HU-017</x:v>
      </x:c>
      <x:c r="B32" s="10" t="str">
        <x:v>Entrega</x:v>
      </x:c>
      <x:c r="C32" s="10" t="str">
        <x:v>Historia de usuario</x:v>
      </x:c>
      <x:c r="D32" s="10" t="str">
        <x:v>Como cliente, quiero elegir retiro o despacho para recibir mi compra de la forma más conveniente.</x:v>
      </x:c>
      <x:c r="E32" s="11" t="str">
        <x:v>Alta</x:v>
      </x:c>
      <x:c r="F32" s="12" t="n">
        <x:v>5</x:v>
      </x:c>
      <x:c r="G32" s="10" t="str">
        <x:v>Modalidades disponibles; dirección validada para despacho; sucursal definida para retiro; elección guardada.</x:v>
      </x:c>
      <x:c r="H32" s="11" t="str">
        <x:v>Sprint 2</x:v>
      </x:c>
      <x:c r="I32" s="11" t="str">
        <x:v>Alonso / Vicente</x:v>
      </x:c>
      <x:c r="J32" s="11" t="str">
        <x:v>Completado</x:v>
      </x:c>
      <x:c r="K32" s="11" t="str">
        <x:v>Sí</x:v>
      </x:c>
      <x:c r="L32" s="10" t="str">
        <x:v>HU-016</x:v>
      </x:c>
      <x:c r="M32" s="10"/>
    </x:row>
    <x:row r="33" ht="36" customHeight="1">
      <x:c r="A33" s="6" t="str">
        <x:v>HU-018</x:v>
      </x:c>
      <x:c r="B33" s="6" t="str">
        <x:v>Ventas</x:v>
      </x:c>
      <x:c r="C33" s="6" t="str">
        <x:v>Historia de usuario</x:v>
      </x:c>
      <x:c r="D33" s="6" t="str">
        <x:v>Como cliente, quiero consultar mi boleta e historial para revisar compras anteriores.</x:v>
      </x:c>
      <x:c r="E33" s="11" t="str">
        <x:v>Alta</x:v>
      </x:c>
      <x:c r="F33" s="12" t="n">
        <x:v>5</x:v>
      </x:c>
      <x:c r="G33" s="6" t="str">
        <x:v>Boleta con detalle y totales; historial por usuario; acceso privado; información consistente.</x:v>
      </x:c>
      <x:c r="H33" s="11" t="str">
        <x:v>Sprint 1</x:v>
      </x:c>
      <x:c r="I33" s="11" t="str">
        <x:v>Vicente / Alonso</x:v>
      </x:c>
      <x:c r="J33" s="11" t="str">
        <x:v>Completado</x:v>
      </x:c>
      <x:c r="K33" s="11" t="str">
        <x:v>Sí</x:v>
      </x:c>
      <x:c r="L33" s="6" t="str">
        <x:v>HU-016</x:v>
      </x:c>
      <x:c r="M33" s="6"/>
    </x:row>
    <x:row r="34" ht="36" customHeight="1">
      <x:c r="A34" s="10" t="str">
        <x:v>HU-019</x:v>
      </x:c>
      <x:c r="B34" s="10" t="str">
        <x:v>Ventas</x:v>
      </x:c>
      <x:c r="C34" s="10" t="str">
        <x:v>Historia de usuario</x:v>
      </x:c>
      <x:c r="D34" s="10" t="str">
        <x:v>Como administrador, quiero actualizar estados de ventas, retiros y despachos para informar el avance al cliente.</x:v>
      </x:c>
      <x:c r="E34" s="11" t="str">
        <x:v>Alta</x:v>
      </x:c>
      <x:c r="F34" s="12" t="n">
        <x:v>5</x:v>
      </x:c>
      <x:c r="G34" s="10" t="str">
        <x:v>Estados permitidos; transiciones controladas; panel administrativo; estado visible al cliente.</x:v>
      </x:c>
      <x:c r="H34" s="11" t="str">
        <x:v>Sprint 2</x:v>
      </x:c>
      <x:c r="I34" s="11" t="str">
        <x:v>Alonso / Franco</x:v>
      </x:c>
      <x:c r="J34" s="11" t="str">
        <x:v>Completado</x:v>
      </x:c>
      <x:c r="K34" s="11" t="str">
        <x:v>Sí</x:v>
      </x:c>
      <x:c r="L34" s="10" t="str">
        <x:v>HU-016, HU-017</x:v>
      </x:c>
      <x:c r="M34" s="10"/>
    </x:row>
    <x:row r="35" ht="36" customHeight="1">
      <x:c r="A35" s="6" t="str">
        <x:v>HU-020</x:v>
      </x:c>
      <x:c r="B35" s="6" t="str">
        <x:v>Pagos</x:v>
      </x:c>
      <x:c r="C35" s="6" t="str">
        <x:v>Historia de usuario</x:v>
      </x:c>
      <x:c r="D35" s="6" t="str">
        <x:v>Como cliente, quiero iniciar un pago con Webpay Plus para pagar mi compra de forma electrónica.</x:v>
      </x:c>
      <x:c r="E35" s="11" t="str">
        <x:v>Crítica</x:v>
      </x:c>
      <x:c r="F35" s="12" t="n">
        <x:v>8</x:v>
      </x:c>
      <x:c r="G35" s="6" t="str">
        <x:v>Transacción creada con monto correcto; redirección válida; venta vinculada; errores controlados.</x:v>
      </x:c>
      <x:c r="H35" s="11" t="str">
        <x:v>Sprint 1</x:v>
      </x:c>
      <x:c r="I35" s="11" t="str">
        <x:v>Alonso</x:v>
      </x:c>
      <x:c r="J35" s="11" t="str">
        <x:v>Completado</x:v>
      </x:c>
      <x:c r="K35" s="11" t="str">
        <x:v>Sí</x:v>
      </x:c>
      <x:c r="L35" s="6" t="str">
        <x:v>HU-016</x:v>
      </x:c>
      <x:c r="M35" s="6"/>
    </x:row>
    <x:row r="36" ht="36" customHeight="1">
      <x:c r="A36" s="10" t="str">
        <x:v>HU-021</x:v>
      </x:c>
      <x:c r="B36" s="10" t="str">
        <x:v>Pagos</x:v>
      </x:c>
      <x:c r="C36" s="10" t="str">
        <x:v>Historia de usuario</x:v>
      </x:c>
      <x:c r="D36" s="10" t="str">
        <x:v>Como cliente, quiero conocer el resultado del pago para saber si mi compra fue aprobada, rechazada o cancelada.</x:v>
      </x:c>
      <x:c r="E36" s="11" t="str">
        <x:v>Crítica</x:v>
      </x:c>
      <x:c r="F36" s="12" t="n">
        <x:v>8</x:v>
      </x:c>
      <x:c r="G36" s="10" t="str">
        <x:v>Retorno validado; estados actualizados; pantallas claras; reintentos y duplicidad controlados.</x:v>
      </x:c>
      <x:c r="H36" s="11" t="str">
        <x:v>Sprint 1</x:v>
      </x:c>
      <x:c r="I36" s="11" t="str">
        <x:v>Alonso / Vicente</x:v>
      </x:c>
      <x:c r="J36" s="11" t="str">
        <x:v>Completado</x:v>
      </x:c>
      <x:c r="K36" s="11" t="str">
        <x:v>Sí</x:v>
      </x:c>
      <x:c r="L36" s="10" t="str">
        <x:v>HU-020</x:v>
      </x:c>
      <x:c r="M36" s="10"/>
    </x:row>
    <x:row r="37" ht="36" customHeight="1">
      <x:c r="A37" s="6" t="str">
        <x:v>HU-022</x:v>
      </x:c>
      <x:c r="B37" s="6" t="str">
        <x:v>Pagos</x:v>
      </x:c>
      <x:c r="C37" s="6" t="str">
        <x:v>Historia de usuario</x:v>
      </x:c>
      <x:c r="D37" s="6" t="str">
        <x:v>Como empresa, quiero validar las respuestas de Webpay para proteger la integridad de las ventas.</x:v>
      </x:c>
      <x:c r="E37" s="11" t="str">
        <x:v>Crítica</x:v>
      </x:c>
      <x:c r="F37" s="12" t="n">
        <x:v>5</x:v>
      </x:c>
      <x:c r="G37" s="6" t="str">
        <x:v>Tokens y montos verificados; datos sensibles no almacenados; respuestas inválidas rechazadas; pruebas aprobadas.</x:v>
      </x:c>
      <x:c r="H37" s="11" t="str">
        <x:v>Sprint 1</x:v>
      </x:c>
      <x:c r="I37" s="11" t="str">
        <x:v>Alonso / Franco</x:v>
      </x:c>
      <x:c r="J37" s="11" t="str">
        <x:v>Completado</x:v>
      </x:c>
      <x:c r="K37" s="11" t="str">
        <x:v>Sí</x:v>
      </x:c>
      <x:c r="L37" s="6" t="str">
        <x:v>HU-020</x:v>
      </x:c>
      <x:c r="M37" s="6"/>
    </x:row>
    <x:row r="38" ht="36" customHeight="1">
      <x:c r="A38" s="10" t="str">
        <x:v>HU-023</x:v>
      </x:c>
      <x:c r="B38" s="10" t="str">
        <x:v>Experiencia transversal</x:v>
      </x:c>
      <x:c r="C38" s="10" t="str">
        <x:v>Historia de usuario</x:v>
      </x:c>
      <x:c r="D38" s="10" t="str">
        <x:v>Como usuario, quiero una identidad visual SFI consistente para reconocer y utilizar fácilmente la plataforma.</x:v>
      </x:c>
      <x:c r="E38" s="11" t="str">
        <x:v>Alta</x:v>
      </x:c>
      <x:c r="F38" s="12" t="n">
        <x:v>5</x:v>
      </x:c>
      <x:c r="G38" s="10" t="str">
        <x:v>Colores y componentes unificados; encabezado y pie comunes; mensajes consistentes; pantallas principales actualizadas.</x:v>
      </x:c>
      <x:c r="H38" s="11" t="str">
        <x:v>Sprint 1</x:v>
      </x:c>
      <x:c r="I38" s="11" t="str">
        <x:v>Vicente / Felipe</x:v>
      </x:c>
      <x:c r="J38" s="11" t="str">
        <x:v>Completado</x:v>
      </x:c>
      <x:c r="K38" s="11" t="str">
        <x:v>Sí</x:v>
      </x:c>
      <x:c r="L38" s="10" t="str">
        <x:v>HU-001</x:v>
      </x:c>
      <x:c r="M38" s="10"/>
    </x:row>
    <x:row r="39" ht="36" customHeight="1">
      <x:c r="A39" s="6" t="str">
        <x:v>HU-024</x:v>
      </x:c>
      <x:c r="B39" s="6" t="str">
        <x:v>Experiencia transversal</x:v>
      </x:c>
      <x:c r="C39" s="6" t="str">
        <x:v>Historia de usuario</x:v>
      </x:c>
      <x:c r="D39" s="6" t="str">
        <x:v>Como usuario móvil, quiero que las funciones principales sean adaptables para comprar desde distintas pantallas.</x:v>
      </x:c>
      <x:c r="E39" s="11" t="str">
        <x:v>Alta</x:v>
      </x:c>
      <x:c r="F39" s="12" t="n">
        <x:v>5</x:v>
      </x:c>
      <x:c r="G39" s="6" t="str">
        <x:v>Catálogo, carrito, cuenta y ventas responsive; navegación utilizable; sin elementos superpuestos.</x:v>
      </x:c>
      <x:c r="H39" s="11" t="str">
        <x:v>Sprint 1</x:v>
      </x:c>
      <x:c r="I39" s="11" t="str">
        <x:v>Vicente / Franco</x:v>
      </x:c>
      <x:c r="J39" s="11" t="str">
        <x:v>Completado</x:v>
      </x:c>
      <x:c r="K39" s="11" t="str">
        <x:v>Sí</x:v>
      </x:c>
      <x:c r="L39" s="6" t="str">
        <x:v>HU-023</x:v>
      </x:c>
      <x:c r="M39" s="6"/>
    </x:row>
    <x:row r="40" ht="36" customHeight="1">
      <x:c r="A40" s="10" t="str">
        <x:v>HU-025</x:v>
      </x:c>
      <x:c r="B40" s="10" t="str">
        <x:v>Administración</x:v>
      </x:c>
      <x:c r="C40" s="10" t="str">
        <x:v>Historia de usuario</x:v>
      </x:c>
      <x:c r="D40" s="10" t="str">
        <x:v>Como administrador, quiero formularios y paneles claros para gestionar la plataforma con menos errores.</x:v>
      </x:c>
      <x:c r="E40" s="11" t="str">
        <x:v>Media</x:v>
      </x:c>
      <x:c r="F40" s="12" t="n">
        <x:v>5</x:v>
      </x:c>
      <x:c r="G40" s="10" t="str">
        <x:v>Formularios ordenados; validaciones visibles; navegación administrativa consistente; recorridos probados.</x:v>
      </x:c>
      <x:c r="H40" s="11" t="str">
        <x:v>Sprint 1</x:v>
      </x:c>
      <x:c r="I40" s="11" t="str">
        <x:v>Vicente / Felipe</x:v>
      </x:c>
      <x:c r="J40" s="11" t="str">
        <x:v>Completado</x:v>
      </x:c>
      <x:c r="K40" s="11" t="str">
        <x:v>Sí</x:v>
      </x:c>
      <x:c r="L40" s="10" t="str">
        <x:v>HU-004, HU-023</x:v>
      </x:c>
      <x:c r="M40" s="10"/>
    </x:row>
    <x:row r="41" ht="36" customHeight="1">
      <x:c r="A41" s="6" t="str">
        <x:v>HU-026</x:v>
      </x:c>
      <x:c r="B41" s="6" t="str">
        <x:v>Asistente IA</x:v>
      </x:c>
      <x:c r="C41" s="6" t="str">
        <x:v>Historia de usuario</x:v>
      </x:c>
      <x:c r="D41" s="6" t="str">
        <x:v>Como cliente, quiero describir un proyecto doméstico para recibir orientación sobre cómo realizarlo.</x:v>
      </x:c>
      <x:c r="E41" s="11" t="str">
        <x:v>Crítica</x:v>
      </x:c>
      <x:c r="F41" s="12" t="n">
        <x:v>8</x:v>
      </x:c>
      <x:c r="G41" s="6" t="str">
        <x:v>Chat disponible; consulta enviada; respuesta comprensible; límites y advertencias informados.</x:v>
      </x:c>
      <x:c r="H41" s="11" t="str">
        <x:v>Sprint 2</x:v>
      </x:c>
      <x:c r="I41" s="11" t="str">
        <x:v>Alonso / Vicente</x:v>
      </x:c>
      <x:c r="J41" s="11" t="str">
        <x:v>Completado</x:v>
      </x:c>
      <x:c r="K41" s="11" t="str">
        <x:v>Sí</x:v>
      </x:c>
      <x:c r="L41" s="6" t="str">
        <x:v>HU-006</x:v>
      </x:c>
      <x:c r="M41" s="6"/>
    </x:row>
    <x:row r="42" ht="36" customHeight="1">
      <x:c r="A42" s="10" t="str">
        <x:v>HU-027</x:v>
      </x:c>
      <x:c r="B42" s="10" t="str">
        <x:v>Asistente IA</x:v>
      </x:c>
      <x:c r="C42" s="10" t="str">
        <x:v>Historia de usuario</x:v>
      </x:c>
      <x:c r="D42" s="10" t="str">
        <x:v>Como cliente, quiero recibir productos del catálogo relacionados con mi consulta para agregarlos a mi compra.</x:v>
      </x:c>
      <x:c r="E42" s="11" t="str">
        <x:v>Crítica</x:v>
      </x:c>
      <x:c r="F42" s="12" t="n">
        <x:v>8</x:v>
      </x:c>
      <x:c r="G42" s="10" t="str">
        <x:v>Recomendaciones vinculadas a productos existentes; disponibilidad considerada; enlaces a ficha; sin productos inventados.</x:v>
      </x:c>
      <x:c r="H42" s="11" t="str">
        <x:v>Sprint 2</x:v>
      </x:c>
      <x:c r="I42" s="11" t="str">
        <x:v>Alonso / Felipe</x:v>
      </x:c>
      <x:c r="J42" s="11" t="str">
        <x:v>Completado</x:v>
      </x:c>
      <x:c r="K42" s="11" t="str">
        <x:v>Sí</x:v>
      </x:c>
      <x:c r="L42" s="10" t="str">
        <x:v>HU-026, HU-006</x:v>
      </x:c>
      <x:c r="M42" s="10"/>
    </x:row>
    <x:row r="43" ht="36" customHeight="1">
      <x:c r="A43" s="6" t="str">
        <x:v>HU-028</x:v>
      </x:c>
      <x:c r="B43" s="6" t="str">
        <x:v>Asistente IA</x:v>
      </x:c>
      <x:c r="C43" s="6" t="str">
        <x:v>Historia de usuario</x:v>
      </x:c>
      <x:c r="D43" s="6" t="str">
        <x:v>Como cliente, quiero obtener una lista estimada de materiales y tiempo para planificar mi proyecto.</x:v>
      </x:c>
      <x:c r="E43" s="11" t="str">
        <x:v>Alta</x:v>
      </x:c>
      <x:c r="F43" s="12" t="n">
        <x:v>8</x:v>
      </x:c>
      <x:c r="G43" s="6" t="str">
        <x:v>Materiales enumerados; cantidades identificadas como estimaciones; tiempo aproximado; recomendaciones explicadas.</x:v>
      </x:c>
      <x:c r="H43" s="11" t="str">
        <x:v>Sprint 2</x:v>
      </x:c>
      <x:c r="I43" s="11" t="str">
        <x:v>Alonso</x:v>
      </x:c>
      <x:c r="J43" s="11" t="str">
        <x:v>Completado</x:v>
      </x:c>
      <x:c r="K43" s="11" t="str">
        <x:v>Sí</x:v>
      </x:c>
      <x:c r="L43" s="6" t="str">
        <x:v>HU-026</x:v>
      </x:c>
      <x:c r="M43" s="6"/>
    </x:row>
    <x:row r="44" ht="36" customHeight="1">
      <x:c r="A44" s="10" t="str">
        <x:v>HU-029</x:v>
      </x:c>
      <x:c r="B44" s="10" t="str">
        <x:v>Asistente IA</x:v>
      </x:c>
      <x:c r="C44" s="10" t="str">
        <x:v>Historia de usuario</x:v>
      </x:c>
      <x:c r="D44" s="10" t="str">
        <x:v>Como empresa, quiero controlar errores y respuestas inseguras de la IA para entregar orientación responsable.</x:v>
      </x:c>
      <x:c r="E44" s="11" t="str">
        <x:v>Crítica</x:v>
      </x:c>
      <x:c r="F44" s="12" t="n">
        <x:v>5</x:v>
      </x:c>
      <x:c r="G44" s="10" t="str">
        <x:v>Errores externos controlados; consultas ambiguas aclaradas; contenido riesgoso limitado; registros sin datos sensibles.</x:v>
      </x:c>
      <x:c r="H44" s="11" t="str">
        <x:v>Sprint 2</x:v>
      </x:c>
      <x:c r="I44" s="11" t="str">
        <x:v>Alonso / Franco</x:v>
      </x:c>
      <x:c r="J44" s="11" t="str">
        <x:v>Completado</x:v>
      </x:c>
      <x:c r="K44" s="11" t="str">
        <x:v>Sí</x:v>
      </x:c>
      <x:c r="L44" s="10" t="str">
        <x:v>HU-026</x:v>
      </x:c>
      <x:c r="M44" s="10"/>
    </x:row>
    <x:row r="45" ht="36" customHeight="1">
      <x:c r="A45" s="6" t="str">
        <x:v>HU-030</x:v>
      </x:c>
      <x:c r="B45" s="6" t="str">
        <x:v>Pintura inteligente</x:v>
      </x:c>
      <x:c r="C45" s="6" t="str">
        <x:v>Historia de usuario</x:v>
      </x:c>
      <x:c r="D45" s="6" t="str">
        <x:v>Como cliente, quiero calcular la pintura necesaria según las dimensiones para comprar una cantidad adecuada.</x:v>
      </x:c>
      <x:c r="E45" s="11" t="str">
        <x:v>Alta</x:v>
      </x:c>
      <x:c r="F45" s="12" t="n">
        <x:v>8</x:v>
      </x:c>
      <x:c r="G45" s="6" t="str">
        <x:v>Superficie calculada; puertas y ventanas descontables; rendimiento y manos configurables; resultado verificable.</x:v>
      </x:c>
      <x:c r="H45" s="11" t="str">
        <x:v>Sprint 2</x:v>
      </x:c>
      <x:c r="I45" s="11" t="str">
        <x:v>Alonso / Felipe</x:v>
      </x:c>
      <x:c r="J45" s="11" t="str">
        <x:v>Completado</x:v>
      </x:c>
      <x:c r="K45" s="11" t="str">
        <x:v>Sí</x:v>
      </x:c>
      <x:c r="L45" s="6" t="str">
        <x:v>HU-028</x:v>
      </x:c>
      <x:c r="M45" s="6"/>
    </x:row>
    <x:row r="46" ht="36" customHeight="1">
      <x:c r="A46" s="10" t="str">
        <x:v>HU-031</x:v>
      </x:c>
      <x:c r="B46" s="10" t="str">
        <x:v>Pintura inteligente</x:v>
      </x:c>
      <x:c r="C46" s="10" t="str">
        <x:v>Historia de usuario</x:v>
      </x:c>
      <x:c r="D46" s="10" t="str">
        <x:v>Como cliente, quiero subir una fotografía para recibir recomendaciones de colores relacionadas con el espacio.</x:v>
      </x:c>
      <x:c r="E46" s="11" t="str">
        <x:v>Alta</x:v>
      </x:c>
      <x:c r="F46" s="12" t="n">
        <x:v>8</x:v>
      </x:c>
      <x:c r="G46" s="10" t="str">
        <x:v>Imagen válida cargada; formato y tamaño controlados; análisis ejecutado; colores sugeridos mostrados.</x:v>
      </x:c>
      <x:c r="H46" s="11" t="str">
        <x:v>Sprint 2</x:v>
      </x:c>
      <x:c r="I46" s="11" t="str">
        <x:v>Alonso / Vicente</x:v>
      </x:c>
      <x:c r="J46" s="11" t="str">
        <x:v>Completado</x:v>
      </x:c>
      <x:c r="K46" s="11" t="str">
        <x:v>Sí</x:v>
      </x:c>
      <x:c r="L46" s="10" t="str">
        <x:v>HU-026</x:v>
      </x:c>
      <x:c r="M46" s="10"/>
    </x:row>
    <x:row r="47" ht="36" customHeight="1">
      <x:c r="A47" s="6" t="str">
        <x:v>HU-032</x:v>
      </x:c>
      <x:c r="B47" s="6" t="str">
        <x:v>Pintura inteligente</x:v>
      </x:c>
      <x:c r="C47" s="6" t="str">
        <x:v>Historia de usuario</x:v>
      </x:c>
      <x:c r="D47" s="6" t="str">
        <x:v>Como cliente, quiero visualizar colores y variantes de pintura para comparar alternativas antes de comprar.</x:v>
      </x:c>
      <x:c r="E47" s="11" t="str">
        <x:v>Media</x:v>
      </x:c>
      <x:c r="F47" s="12" t="n">
        <x:v>5</x:v>
      </x:c>
      <x:c r="G47" s="6" t="str">
        <x:v>Paleta visible; variantes relacionadas con catálogo; resultado diferenciable de una simulación exacta; interfaz responsive.</x:v>
      </x:c>
      <x:c r="H47" s="11" t="str">
        <x:v>Sprint 2</x:v>
      </x:c>
      <x:c r="I47" s="11" t="str">
        <x:v>Vicente</x:v>
      </x:c>
      <x:c r="J47" s="11" t="str">
        <x:v>Completado</x:v>
      </x:c>
      <x:c r="K47" s="11" t="str">
        <x:v>Sí</x:v>
      </x:c>
      <x:c r="L47" s="6" t="str">
        <x:v>HU-031, HU-007</x:v>
      </x:c>
      <x:c r="M47" s="6"/>
    </x:row>
    <x:row r="48" ht="36" customHeight="1">
      <x:c r="A48" s="10" t="str">
        <x:v>HU-033</x:v>
      </x:c>
      <x:c r="B48" s="10" t="str">
        <x:v>Pintura inteligente</x:v>
      </x:c>
      <x:c r="C48" s="10" t="str">
        <x:v>Historia de usuario</x:v>
      </x:c>
      <x:c r="D48" s="10" t="str">
        <x:v>Como cliente, quiero agregar las pinturas recomendadas al carrito para completar la compra asistida.</x:v>
      </x:c>
      <x:c r="E48" s="11" t="str">
        <x:v>Alta</x:v>
      </x:c>
      <x:c r="F48" s="12" t="n">
        <x:v>5</x:v>
      </x:c>
      <x:c r="G48" s="10" t="str">
        <x:v>Producto y variante correctos; cantidad calculada transferida; stock validado; carrito actualizado.</x:v>
      </x:c>
      <x:c r="H48" s="11" t="str">
        <x:v>Sprint 2</x:v>
      </x:c>
      <x:c r="I48" s="11" t="str">
        <x:v>Alonso / Vicente</x:v>
      </x:c>
      <x:c r="J48" s="11" t="str">
        <x:v>Completado</x:v>
      </x:c>
      <x:c r="K48" s="11" t="str">
        <x:v>Sí</x:v>
      </x:c>
      <x:c r="L48" s="10" t="str">
        <x:v>HU-030, HU-032, HU-013</x:v>
      </x:c>
      <x:c r="M48" s="10"/>
    </x:row>
    <x:row r="49" ht="36" customHeight="1">
      <x:c r="A49" s="6" t="str">
        <x:v>HU-034</x:v>
      </x:c>
      <x:c r="B49" s="6" t="str">
        <x:v>Maestros</x:v>
      </x:c>
      <x:c r="C49" s="6" t="str">
        <x:v>Historia de usuario</x:v>
      </x:c>
      <x:c r="D49" s="6" t="str">
        <x:v>Como maestro, quiero crear un perfil profesional para ofrecer mis servicios en la plataforma.</x:v>
      </x:c>
      <x:c r="E49" s="11" t="str">
        <x:v>Crítica</x:v>
      </x:c>
      <x:c r="F49" s="12" t="n">
        <x:v>8</x:v>
      </x:c>
      <x:c r="G49" s="6" t="str">
        <x:v>Registro diferenciado; perfil privado creado; datos obligatorios validados; estado pendiente asignado.</x:v>
      </x:c>
      <x:c r="H49" s="11" t="str">
        <x:v>Sprint 2</x:v>
      </x:c>
      <x:c r="I49" s="11" t="str">
        <x:v>Alonso / Vicente</x:v>
      </x:c>
      <x:c r="J49" s="11" t="str">
        <x:v>Completado</x:v>
      </x:c>
      <x:c r="K49" s="11" t="str">
        <x:v>Sí</x:v>
      </x:c>
      <x:c r="L49" s="6" t="str">
        <x:v>HU-002, HU-004</x:v>
      </x:c>
      <x:c r="M49" s="6"/>
    </x:row>
    <x:row r="50" ht="36" customHeight="1">
      <x:c r="A50" s="10" t="str">
        <x:v>HU-035</x:v>
      </x:c>
      <x:c r="B50" s="10" t="str">
        <x:v>Maestros</x:v>
      </x:c>
      <x:c r="C50" s="10" t="str">
        <x:v>Historia de usuario</x:v>
      </x:c>
      <x:c r="D50" s="10" t="str">
        <x:v>Como maestro, quiero registrar especialidades, ubicación y experiencia para describir mis capacidades.</x:v>
      </x:c>
      <x:c r="E50" s="11" t="str">
        <x:v>Alta</x:v>
      </x:c>
      <x:c r="F50" s="12" t="n">
        <x:v>5</x:v>
      </x:c>
      <x:c r="G50" s="10" t="str">
        <x:v>Especialidades seleccionables; región y comuna válidas; experiencia editable; información guardada.</x:v>
      </x:c>
      <x:c r="H50" s="11" t="str">
        <x:v>Sprint 2</x:v>
      </x:c>
      <x:c r="I50" s="11" t="str">
        <x:v>Alonso / Vicente</x:v>
      </x:c>
      <x:c r="J50" s="11" t="str">
        <x:v>Completado</x:v>
      </x:c>
      <x:c r="K50" s="11" t="str">
        <x:v>Sí</x:v>
      </x:c>
      <x:c r="L50" s="10" t="str">
        <x:v>HU-034</x:v>
      </x:c>
      <x:c r="M50" s="10"/>
    </x:row>
    <x:row r="51" ht="36" customHeight="1">
      <x:c r="A51" s="6" t="str">
        <x:v>HU-036</x:v>
      </x:c>
      <x:c r="B51" s="6" t="str">
        <x:v>Maestros</x:v>
      </x:c>
      <x:c r="C51" s="6" t="str">
        <x:v>Historia de usuario</x:v>
      </x:c>
      <x:c r="D51" s="6" t="str">
        <x:v>Como maestro, quiero publicar trabajos anteriores para demostrar mi experiencia a los clientes.</x:v>
      </x:c>
      <x:c r="E51" s="11" t="str">
        <x:v>Media</x:v>
      </x:c>
      <x:c r="F51" s="12" t="n">
        <x:v>5</x:v>
      </x:c>
      <x:c r="G51" s="6" t="str">
        <x:v>Portafolio administrable; imágenes y descripción validadas; trabajos asociados al perfil; privacidad controlada.</x:v>
      </x:c>
      <x:c r="H51" s="11" t="str">
        <x:v>Sprint 2</x:v>
      </x:c>
      <x:c r="I51" s="11" t="str">
        <x:v>Vicente / Alonso</x:v>
      </x:c>
      <x:c r="J51" s="11" t="str">
        <x:v>Completado</x:v>
      </x:c>
      <x:c r="K51" s="11" t="str">
        <x:v>Sí</x:v>
      </x:c>
      <x:c r="L51" s="6" t="str">
        <x:v>HU-034</x:v>
      </x:c>
      <x:c r="M51" s="6"/>
    </x:row>
    <x:row r="52" ht="36" customHeight="1">
      <x:c r="A52" s="10" t="str">
        <x:v>HU-037</x:v>
      </x:c>
      <x:c r="B52" s="10" t="str">
        <x:v>Maestros</x:v>
      </x:c>
      <x:c r="C52" s="10" t="str">
        <x:v>Historia de usuario</x:v>
      </x:c>
      <x:c r="D52" s="10" t="str">
        <x:v>Como administrador, quiero aprobar o rechazar perfiles para publicar únicamente maestros validados.</x:v>
      </x:c>
      <x:c r="E52" s="11" t="str">
        <x:v>Crítica</x:v>
      </x:c>
      <x:c r="F52" s="12" t="n">
        <x:v>8</x:v>
      </x:c>
      <x:c r="G52" s="10" t="str">
        <x:v>Panel de revisión; aprobación y rechazo registrados; solo aprobados visibles; directorio público disponible.</x:v>
      </x:c>
      <x:c r="H52" s="11" t="str">
        <x:v>Sprint 2</x:v>
      </x:c>
      <x:c r="I52" s="11" t="str">
        <x:v>Alonso / Franco</x:v>
      </x:c>
      <x:c r="J52" s="11" t="str">
        <x:v>Completado</x:v>
      </x:c>
      <x:c r="K52" s="11" t="str">
        <x:v>Sí</x:v>
      </x:c>
      <x:c r="L52" s="10" t="str">
        <x:v>HU-034, HU-035</x:v>
      </x:c>
      <x:c r="M52" s="10"/>
    </x:row>
    <x:row r="53" ht="36" customHeight="1">
      <x:c r="A53" s="6" t="str">
        <x:v>HU-038</x:v>
      </x:c>
      <x:c r="B53" s="6" t="str">
        <x:v>Servicios de maestros</x:v>
      </x:c>
      <x:c r="C53" s="6" t="str">
        <x:v>Historia de usuario</x:v>
      </x:c>
      <x:c r="D53" s="6" t="str">
        <x:v>Como maestro autenticado, quiero consultar y actualizar mi información mediante servicios seguros.</x:v>
      </x:c>
      <x:c r="E53" s="11" t="str">
        <x:v>Alta</x:v>
      </x:c>
      <x:c r="F53" s="12" t="n">
        <x:v>8</x:v>
      </x:c>
      <x:c r="G53" s="6" t="str">
        <x:v>API privada autenticada; el maestro consulta y actualiza solo su perfil; sesión y CSRF activos; cambios sensibles devuelven el perfil a revisión.</x:v>
      </x:c>
      <x:c r="H53" s="11" t="str">
        <x:v>Sprint 2</x:v>
      </x:c>
      <x:c r="I53" s="11" t="str">
        <x:v>Alonso</x:v>
      </x:c>
      <x:c r="J53" s="11" t="str">
        <x:v>En revisión</x:v>
      </x:c>
      <x:c r="K53" s="11" t="str">
        <x:v>Parcial</x:v>
      </x:c>
      <x:c r="L53" s="6" t="str">
        <x:v>HU-034</x:v>
      </x:c>
      <x:c r="M53" s="6"/>
    </x:row>
    <x:row r="54" ht="36" customHeight="1">
      <x:c r="A54" s="10" t="str">
        <x:v>HU-039</x:v>
      </x:c>
      <x:c r="B54" s="10" t="str">
        <x:v>Servicios de maestros</x:v>
      </x:c>
      <x:c r="C54" s="10" t="str">
        <x:v>Historia de usuario</x:v>
      </x:c>
      <x:c r="D54" s="10" t="str">
        <x:v>Como administrador, quiero gestionar perfiles y como cliente consultar maestros aprobados mediante servicios diferenciados.</x:v>
      </x:c>
      <x:c r="E54" s="11" t="str">
        <x:v>Alta</x:v>
      </x:c>
      <x:c r="F54" s="12" t="n">
        <x:v>8</x:v>
      </x:c>
      <x:c r="G54" s="10" t="str">
        <x:v>Administración puede aprobar, rechazar o suspender; la API pública muestra solo perfiles aprobados y datos profesionales autorizados.</x:v>
      </x:c>
      <x:c r="H54" s="11" t="str">
        <x:v>Sprint 2</x:v>
      </x:c>
      <x:c r="I54" s="11" t="str">
        <x:v>Alonso / Vicente</x:v>
      </x:c>
      <x:c r="J54" s="11" t="str">
        <x:v>En revisión</x:v>
      </x:c>
      <x:c r="K54" s="11" t="str">
        <x:v>Parcial</x:v>
      </x:c>
      <x:c r="L54" s="10" t="str">
        <x:v>HU-037</x:v>
      </x:c>
      <x:c r="M54" s="10"/>
    </x:row>
    <x:row r="55" ht="36" customHeight="1">
      <x:c r="A55" s="6" t="str">
        <x:v>HU-040</x:v>
      </x:c>
      <x:c r="B55" s="6" t="str">
        <x:v>Seguridad funcional</x:v>
      </x:c>
      <x:c r="C55" s="6" t="str">
        <x:v>Historia de usuario</x:v>
      </x:c>
      <x:c r="D55" s="6" t="str">
        <x:v>Como usuario, quiero que la información privada de los maestros esté protegida para evitar accesos no autorizados.</x:v>
      </x:c>
      <x:c r="E55" s="11" t="str">
        <x:v>Crítica</x:v>
      </x:c>
      <x:c r="F55" s="12" t="n">
        <x:v>5</x:v>
      </x:c>
      <x:c r="G55" s="6" t="str">
        <x:v>No se exponen RUT, correo, teléfono ni observaciones; se impide consultar o modificar objetos de otro usuario; permisos verificados en servidor.</x:v>
      </x:c>
      <x:c r="H55" s="11" t="str">
        <x:v>Sprint 2</x:v>
      </x:c>
      <x:c r="I55" s="11" t="str">
        <x:v>Franco / Alonso</x:v>
      </x:c>
      <x:c r="J55" s="11" t="str">
        <x:v>En revisión</x:v>
      </x:c>
      <x:c r="K55" s="11" t="str">
        <x:v>Parcial</x:v>
      </x:c>
      <x:c r="L55" s="6" t="str">
        <x:v>HU-038, HU-039</x:v>
      </x:c>
      <x:c r="M55" s="6"/>
    </x:row>
    <x:row r="56" ht="49" customHeight="1">
      <x:c r="A56" s="10" t="str">
        <x:v>TA-007</x:v>
      </x:c>
      <x:c r="B56" s="10" t="str">
        <x:v>Integración</x:v>
      </x:c>
      <x:c r="C56" s="10" t="str">
        <x:v>Tarea técnica</x:v>
      </x:c>
      <x:c r="D56" s="10" t="str">
        <x:v>Integrar y verificar perfiles de maestros, vistas, APIs públicas y privadas, permisos y regresión dentro del Sprint 2.</x:v>
      </x:c>
      <x:c r="E56" s="11" t="str">
        <x:v>Crítica</x:v>
      </x:c>
      <x:c r="F56" s="12" t="n">
        <x:v>8</x:v>
      </x:c>
      <x:c r="G56" s="10" t="str">
        <x:v>Vistas y APIs coexisten; flujos principales integrados; pruebas de propiedad, permisos, visibilidad y validaciones disponibles; sin defecto crítico conocido.</x:v>
      </x:c>
      <x:c r="H56" s="11" t="str">
        <x:v>Sprint 2</x:v>
      </x:c>
      <x:c r="I56" s="11" t="str">
        <x:v>Todo el equipo</x:v>
      </x:c>
      <x:c r="J56" s="11" t="str">
        <x:v>En revisión</x:v>
      </x:c>
      <x:c r="K56" s="11" t="str">
        <x:v>Parcial</x:v>
      </x:c>
      <x:c r="L56" s="10" t="str">
        <x:v>HU-001 a HU-040</x:v>
      </x:c>
      <x:c r="M56" s="10"/>
    </x:row>
    <x:row r="57" ht="36" customHeight="1">
      <x:c r="A57" s="6" t="str">
        <x:v>HU-041</x:v>
      </x:c>
      <x:c r="B57" s="6" t="str">
        <x:v>Promoción y contacto de maestros</x:v>
      </x:c>
      <x:c r="C57" s="6" t="str">
        <x:v>Historia de usuario</x:v>
      </x:c>
      <x:c r="D57" s="6" t="str">
        <x:v>Como cliente, quiero consultar los medios de contacto de un maestro aprobado para conversar externamente sobre un trabajo.</x:v>
      </x:c>
      <x:c r="E57" s="11" t="str">
        <x:v>Crítica</x:v>
      </x:c>
      <x:c r="F57" s="12" t="n">
        <x:v>8</x:v>
      </x:c>
      <x:c r="G57" s="6" t="str">
        <x:v>Perfil aprobado visible; contacto público autorizado; aviso de negociación externa; perfiles rechazados ocultos.</x:v>
      </x:c>
      <x:c r="H57" s="11" t="str">
        <x:v>Sprint 2</x:v>
      </x:c>
      <x:c r="I57" s="11" t="str">
        <x:v>Alonso / Vicente</x:v>
      </x:c>
      <x:c r="J57" s="11" t="str">
        <x:v>Propuesto para validación</x:v>
      </x:c>
      <x:c r="K57" s="11" t="str">
        <x:v>No</x:v>
      </x:c>
      <x:c r="L57" s="6" t="str">
        <x:v>HU-037</x:v>
      </x:c>
      <x:c r="M57" s="6" t="str">
        <x:v>Reformulado para respetar el alcance de promoción y contacto.</x:v>
      </x:c>
    </x:row>
    <x:row r="58" ht="36" customHeight="1">
      <x:c r="A58" s="10" t="str">
        <x:v>HU-042</x:v>
      </x:c>
      <x:c r="B58" s="10" t="str">
        <x:v>Promoción y contacto de maestros</x:v>
      </x:c>
      <x:c r="C58" s="10" t="str">
        <x:v>Historia de usuario</x:v>
      </x:c>
      <x:c r="D58" s="10" t="str">
        <x:v>Como maestro, quiero publicar una descripción de mis servicios para informar a los clientes antes del contacto externo.</x:v>
      </x:c>
      <x:c r="E58" s="11" t="str">
        <x:v>Alta</x:v>
      </x:c>
      <x:c r="F58" s="12" t="n">
        <x:v>8</x:v>
      </x:c>
      <x:c r="G58" s="10" t="str">
        <x:v>Descripción editable por su propietario; datos validados; publicación sujeta a aprobación; sin cotización contractual dentro de SFI.</x:v>
      </x:c>
      <x:c r="H58" s="11" t="str">
        <x:v>Sprint 2</x:v>
      </x:c>
      <x:c r="I58" s="11" t="str">
        <x:v>Alonso / Vicente</x:v>
      </x:c>
      <x:c r="J58" s="11" t="str">
        <x:v>Propuesto para validación</x:v>
      </x:c>
      <x:c r="K58" s="11" t="str">
        <x:v>No</x:v>
      </x:c>
      <x:c r="L58" s="10" t="str">
        <x:v>HU-041</x:v>
      </x:c>
      <x:c r="M58" s="10" t="str">
        <x:v>Reformulado para respetar el alcance de promoción y contacto.</x:v>
      </x:c>
    </x:row>
    <x:row r="59" ht="36" customHeight="1">
      <x:c r="A59" s="6" t="str">
        <x:v>HU-043</x:v>
      </x:c>
      <x:c r="B59" s="6" t="str">
        <x:v>Promoción y contacto de maestros</x:v>
      </x:c>
      <x:c r="C59" s="6" t="str">
        <x:v>Historia de usuario</x:v>
      </x:c>
      <x:c r="D59" s="6" t="str">
        <x:v>Como maestro, quiero indicar mi disponibilidad general de contacto para orientar a los clientes.</x:v>
      </x:c>
      <x:c r="E59" s="11" t="str">
        <x:v>Alta</x:v>
      </x:c>
      <x:c r="F59" s="12" t="n">
        <x:v>5</x:v>
      </x:c>
      <x:c r="G59" s="6" t="str">
        <x:v>Disponibilidad informativa editable; visible en perfil aprobado; aviso de que no constituye reserva de obra.</x:v>
      </x:c>
      <x:c r="H59" s="11" t="str">
        <x:v>Sprint 2</x:v>
      </x:c>
      <x:c r="I59" s="11" t="str">
        <x:v>Alonso / Vicente</x:v>
      </x:c>
      <x:c r="J59" s="11" t="str">
        <x:v>Propuesto para validación</x:v>
      </x:c>
      <x:c r="K59" s="11" t="str">
        <x:v>No</x:v>
      </x:c>
      <x:c r="L59" s="6" t="str">
        <x:v>HU-041</x:v>
      </x:c>
      <x:c r="M59" s="6" t="str">
        <x:v>Reformulado para respetar el alcance de promoción y contacto.</x:v>
      </x:c>
    </x:row>
    <x:row r="60" ht="36" customHeight="1">
      <x:c r="A60" s="10" t="str">
        <x:v>HU-044</x:v>
      </x:c>
      <x:c r="B60" s="10" t="str">
        <x:v>Promoción y contacto de maestros</x:v>
      </x:c>
      <x:c r="C60" s="10" t="str">
        <x:v>Historia de usuario</x:v>
      </x:c>
      <x:c r="D60" s="10" t="str">
        <x:v>Como cliente, quiero conocer el alcance del directorio de maestros para entender cómo contactar y negociar fuera de SFI.</x:v>
      </x:c>
      <x:c r="E60" s="11" t="str">
        <x:v>Alta</x:v>
      </x:c>
      <x:c r="F60" s="12" t="n">
        <x:v>5</x:v>
      </x:c>
      <x:c r="G60" s="10" t="str">
        <x:v>Aviso visible antes del contacto; negociación y ejecución externas; sin seguimiento contractual de obras en la plataforma.</x:v>
      </x:c>
      <x:c r="H60" s="11" t="str">
        <x:v>Sprint 2</x:v>
      </x:c>
      <x:c r="I60" s="11" t="str">
        <x:v>Alonso / Franco</x:v>
      </x:c>
      <x:c r="J60" s="11" t="str">
        <x:v>Propuesto para validación</x:v>
      </x:c>
      <x:c r="K60" s="11" t="str">
        <x:v>No</x:v>
      </x:c>
      <x:c r="L60" s="10" t="str">
        <x:v>HU-041, HU-042</x:v>
      </x:c>
      <x:c r="M60" s="10" t="str">
        <x:v>Reformulado para respetar el alcance de promoción y contacto.</x:v>
      </x:c>
    </x:row>
    <x:row r="61" ht="36" customHeight="1">
      <x:c r="A61" s="6" t="str">
        <x:v>TA-008</x:v>
      </x:c>
      <x:c r="B61" s="6" t="str">
        <x:v>Personalización empresarial</x:v>
      </x:c>
      <x:c r="C61" s="6" t="str">
        <x:v>Tarea técnica</x:v>
      </x:c>
      <x:c r="D61" s="6" t="str">
        <x:v>Aplicar la identidad visual y configuración comercial de la empresa compradora.</x:v>
      </x:c>
      <x:c r="E61" s="11" t="str">
        <x:v>Alta</x:v>
      </x:c>
      <x:c r="F61" s="12" t="n">
        <x:v>5</x:v>
      </x:c>
      <x:c r="G61" s="6" t="str">
        <x:v>Marca configurable; datos corporativos actualizados; reglas comerciales aplicadas; aprobación del cliente.</x:v>
      </x:c>
      <x:c r="H61" s="11" t="str">
        <x:v>Sprint 2</x:v>
      </x:c>
      <x:c r="I61" s="11" t="str">
        <x:v>Vicente / Felipe</x:v>
      </x:c>
      <x:c r="J61" s="11" t="str">
        <x:v>Pendiente</x:v>
      </x:c>
      <x:c r="K61" s="11" t="str">
        <x:v>No</x:v>
      </x:c>
      <x:c r="L61" s="6" t="str">
        <x:v>TA-007</x:v>
      </x:c>
      <x:c r="M61" s="6"/>
    </x:row>
    <x:row r="62" ht="36" customHeight="1">
      <x:c r="A62" s="10" t="str">
        <x:v>TA-009</x:v>
      </x:c>
      <x:c r="B62" s="10" t="str">
        <x:v>Migración</x:v>
      </x:c>
      <x:c r="C62" s="10" t="str">
        <x:v>Tarea técnica</x:v>
      </x:c>
      <x:c r="D62" s="10" t="str">
        <x:v>Preparar y cargar el catálogo, precios, stock y datos iniciales entregados por la empresa.</x:v>
      </x:c>
      <x:c r="E62" s="11" t="str">
        <x:v>Crítica</x:v>
      </x:c>
      <x:c r="F62" s="12" t="n">
        <x:v>8</x:v>
      </x:c>
      <x:c r="G62" s="10" t="str">
        <x:v>Formato de carga validado; datos depurados; importación trazable; totales reconciliados.</x:v>
      </x:c>
      <x:c r="H62" s="11" t="str">
        <x:v>Sprint 2</x:v>
      </x:c>
      <x:c r="I62" s="11" t="str">
        <x:v>Alonso / Franco</x:v>
      </x:c>
      <x:c r="J62" s="11" t="str">
        <x:v>Pendiente</x:v>
      </x:c>
      <x:c r="K62" s="11" t="str">
        <x:v>No</x:v>
      </x:c>
      <x:c r="L62" s="10" t="str">
        <x:v>TA-008</x:v>
      </x:c>
      <x:c r="M62" s="10"/>
    </x:row>
    <x:row r="63" ht="36" customHeight="1">
      <x:c r="A63" s="6" t="str">
        <x:v>TA-010</x:v>
      </x:c>
      <x:c r="B63" s="6" t="str">
        <x:v>Integraciones corporativas</x:v>
      </x:c>
      <x:c r="C63" s="6" t="str">
        <x:v>Tarea técnica</x:v>
      </x:c>
      <x:c r="D63" s="6" t="str">
        <x:v>Integrar las fuentes empresariales acordadas para catálogo, stock o despacho.</x:v>
      </x:c>
      <x:c r="E63" s="11" t="str">
        <x:v>Crítica</x:v>
      </x:c>
      <x:c r="F63" s="12" t="n">
        <x:v>13</x:v>
      </x:c>
      <x:c r="G63" s="6" t="str">
        <x:v>Contrato de integración definido; autenticación segura; sincronización controlada; errores y reintentos registrados.</x:v>
      </x:c>
      <x:c r="H63" s="11" t="str">
        <x:v>Sprint 2</x:v>
      </x:c>
      <x:c r="I63" s="11" t="str">
        <x:v>Alonso / Franco</x:v>
      </x:c>
      <x:c r="J63" s="11" t="str">
        <x:v>Pendiente</x:v>
      </x:c>
      <x:c r="K63" s="11" t="str">
        <x:v>No</x:v>
      </x:c>
      <x:c r="L63" s="6" t="str">
        <x:v>TA-009</x:v>
      </x:c>
      <x:c r="M63" s="6"/>
    </x:row>
    <x:row r="64" ht="36" customHeight="1">
      <x:c r="A64" s="10" t="str">
        <x:v>TA-011</x:v>
      </x:c>
      <x:c r="B64" s="10" t="str">
        <x:v>Seguridad</x:v>
      </x:c>
      <x:c r="C64" s="10" t="str">
        <x:v>Tarea técnica</x:v>
      </x:c>
      <x:c r="D64" s="10" t="str">
        <x:v>Fortalecer autenticación, autorización, privacidad y manejo seguro de configuraciones.</x:v>
      </x:c>
      <x:c r="E64" s="11" t="str">
        <x:v>Crítica</x:v>
      </x:c>
      <x:c r="F64" s="12" t="n">
        <x:v>8</x:v>
      </x:c>
      <x:c r="G64" s="10" t="str">
        <x:v>Secretos fuera del código; permisos auditados; entradas validadas; hallazgos críticos corregidos.</x:v>
      </x:c>
      <x:c r="H64" s="11" t="str">
        <x:v>Sprint 3</x:v>
      </x:c>
      <x:c r="I64" s="11" t="str">
        <x:v>Franco / Alonso</x:v>
      </x:c>
      <x:c r="J64" s="11" t="str">
        <x:v>Pendiente</x:v>
      </x:c>
      <x:c r="K64" s="11" t="str">
        <x:v>No</x:v>
      </x:c>
      <x:c r="L64" s="10" t="str">
        <x:v>TA-007</x:v>
      </x:c>
      <x:c r="M64" s="10"/>
    </x:row>
    <x:row r="65" ht="36" customHeight="1">
      <x:c r="A65" s="6" t="str">
        <x:v>TA-012</x:v>
      </x:c>
      <x:c r="B65" s="6" t="str">
        <x:v>Rendimiento</x:v>
      </x:c>
      <x:c r="C65" s="6" t="str">
        <x:v>Tarea técnica</x:v>
      </x:c>
      <x:c r="D65" s="6" t="str">
        <x:v>Optimizar consultas y recorridos críticos para mantener tiempos de respuesta aceptables.</x:v>
      </x:c>
      <x:c r="E65" s="11" t="str">
        <x:v>Alta</x:v>
      </x:c>
      <x:c r="F65" s="12" t="n">
        <x:v>8</x:v>
      </x:c>
      <x:c r="G65" s="6" t="str">
        <x:v>Consultas críticas medidas; cargas redundantes reducidas; páginas principales dentro del objetivo acordado.</x:v>
      </x:c>
      <x:c r="H65" s="11" t="str">
        <x:v>Sprint 3</x:v>
      </x:c>
      <x:c r="I65" s="11" t="str">
        <x:v>Alonso</x:v>
      </x:c>
      <x:c r="J65" s="11" t="str">
        <x:v>Pendiente</x:v>
      </x:c>
      <x:c r="K65" s="11" t="str">
        <x:v>No</x:v>
      </x:c>
      <x:c r="L65" s="6" t="str">
        <x:v>TA-007</x:v>
      </x:c>
      <x:c r="M65" s="6"/>
    </x:row>
    <x:row r="66" ht="36" customHeight="1">
      <x:c r="A66" s="10" t="str">
        <x:v>TA-013</x:v>
      </x:c>
      <x:c r="B66" s="10" t="str">
        <x:v>Calidad</x:v>
      </x:c>
      <x:c r="C66" s="10" t="str">
        <x:v>Tarea de calidad</x:v>
      </x:c>
      <x:c r="D66" s="10" t="str">
        <x:v>Ejecutar regresión integral y resolver defectos antes del piloto.</x:v>
      </x:c>
      <x:c r="E66" s="11" t="str">
        <x:v>Crítica</x:v>
      </x:c>
      <x:c r="F66" s="12" t="n">
        <x:v>13</x:v>
      </x:c>
      <x:c r="G66" s="10" t="str">
        <x:v>Casos principales ejecutados; defectos clasificados; críticos cerrados; evidencia de resultados disponible.</x:v>
      </x:c>
      <x:c r="H66" s="11" t="str">
        <x:v>Sprint 3</x:v>
      </x:c>
      <x:c r="I66" s="11" t="str">
        <x:v>Franco / Todo el equipo</x:v>
      </x:c>
      <x:c r="J66" s="11" t="str">
        <x:v>Pendiente</x:v>
      </x:c>
      <x:c r="K66" s="11" t="str">
        <x:v>No</x:v>
      </x:c>
      <x:c r="L66" s="10" t="str">
        <x:v>TA-011, TA-012</x:v>
      </x:c>
      <x:c r="M66" s="10"/>
    </x:row>
    <x:row r="67" ht="36" customHeight="1">
      <x:c r="A67" s="6" t="str">
        <x:v>HU-045</x:v>
      </x:c>
      <x:c r="B67" s="6" t="str">
        <x:v>Piloto</x:v>
      </x:c>
      <x:c r="C67" s="6" t="str">
        <x:v>Historia de usuario</x:v>
      </x:c>
      <x:c r="D67" s="6" t="str">
        <x:v>Como representante de la empresa, quiero ejecutar casos de aceptación para validar que SFI cumple lo acordado.</x:v>
      </x:c>
      <x:c r="E67" s="11" t="str">
        <x:v>Crítica</x:v>
      </x:c>
      <x:c r="F67" s="12" t="n">
        <x:v>8</x:v>
      </x:c>
      <x:c r="G67" s="6" t="str">
        <x:v>Casos UAT definidos; usuarios piloto habilitados; resultados registrados; aceptación o brechas documentadas.</x:v>
      </x:c>
      <x:c r="H67" s="11" t="str">
        <x:v>Sprint 3</x:v>
      </x:c>
      <x:c r="I67" s="11" t="str">
        <x:v>Felipe / Franco</x:v>
      </x:c>
      <x:c r="J67" s="11" t="str">
        <x:v>Pendiente</x:v>
      </x:c>
      <x:c r="K67" s="11" t="str">
        <x:v>No</x:v>
      </x:c>
      <x:c r="L67" s="6" t="str">
        <x:v>TA-013</x:v>
      </x:c>
      <x:c r="M67" s="6"/>
    </x:row>
    <x:row r="68" ht="36" customHeight="1">
      <x:c r="A68" s="10" t="str">
        <x:v>TA-014</x:v>
      </x:c>
      <x:c r="B68" s="10" t="str">
        <x:v>Capacitación</x:v>
      </x:c>
      <x:c r="C68" s="10" t="str">
        <x:v>Tarea de capacitación</x:v>
      </x:c>
      <x:c r="D68" s="10" t="str">
        <x:v>Capacitar administradores y usuarios clave para operar la plataforma.</x:v>
      </x:c>
      <x:c r="E68" s="11" t="str">
        <x:v>Alta</x:v>
      </x:c>
      <x:c r="F68" s="12" t="n">
        <x:v>5</x:v>
      </x:c>
      <x:c r="G68" s="10" t="str">
        <x:v>Material preparado; sesión realizada; dudas registradas; participantes capaces de ejecutar tareas principales.</x:v>
      </x:c>
      <x:c r="H68" s="11" t="str">
        <x:v>Sprint 3</x:v>
      </x:c>
      <x:c r="I68" s="11" t="str">
        <x:v>Felipe / Franco</x:v>
      </x:c>
      <x:c r="J68" s="11" t="str">
        <x:v>Pendiente</x:v>
      </x:c>
      <x:c r="K68" s="11" t="str">
        <x:v>No</x:v>
      </x:c>
      <x:c r="L68" s="10" t="str">
        <x:v>HU-045</x:v>
      </x:c>
      <x:c r="M68" s="10"/>
    </x:row>
    <x:row r="69" ht="36" customHeight="1">
      <x:c r="A69" s="6" t="str">
        <x:v>TA-015</x:v>
      </x:c>
      <x:c r="B69" s="6" t="str">
        <x:v>Piloto</x:v>
      </x:c>
      <x:c r="C69" s="6" t="str">
        <x:v>Tarea técnica</x:v>
      </x:c>
      <x:c r="D69" s="6" t="str">
        <x:v>Corregir observaciones prioritarias detectadas durante la aceptación de usuario.</x:v>
      </x:c>
      <x:c r="E69" s="11" t="str">
        <x:v>Crítica</x:v>
      </x:c>
      <x:c r="F69" s="12" t="n">
        <x:v>8</x:v>
      </x:c>
      <x:c r="G69" s="6" t="str">
        <x:v>Observaciones priorizadas; correcciones implementadas; regresión selectiva; cierre validado.</x:v>
      </x:c>
      <x:c r="H69" s="11" t="str">
        <x:v>Sprint 3</x:v>
      </x:c>
      <x:c r="I69" s="11" t="str">
        <x:v>Todo el equipo</x:v>
      </x:c>
      <x:c r="J69" s="11" t="str">
        <x:v>Pendiente</x:v>
      </x:c>
      <x:c r="K69" s="11" t="str">
        <x:v>No</x:v>
      </x:c>
      <x:c r="L69" s="6" t="str">
        <x:v>HU-045</x:v>
      </x:c>
      <x:c r="M69" s="6"/>
    </x:row>
    <x:row r="70" ht="36" customHeight="1">
      <x:c r="A70" s="10" t="str">
        <x:v>TA-016</x:v>
      </x:c>
      <x:c r="B70" s="10" t="str">
        <x:v>Despliegue</x:v>
      </x:c>
      <x:c r="C70" s="10" t="str">
        <x:v>Tarea técnica</x:v>
      </x:c>
      <x:c r="D70" s="10" t="str">
        <x:v>Desplegar la versión aceptada con respaldo y configuración del ambiente productivo.</x:v>
      </x:c>
      <x:c r="E70" s="11" t="str">
        <x:v>Crítica</x:v>
      </x:c>
      <x:c r="F70" s="12" t="n">
        <x:v>13</x:v>
      </x:c>
      <x:c r="G70" s="10" t="str">
        <x:v>Ambiente operativo; variables seguras; respaldo probado; verificación posterior al despliegue.</x:v>
      </x:c>
      <x:c r="H70" s="11" t="str">
        <x:v>Sprint 3</x:v>
      </x:c>
      <x:c r="I70" s="11" t="str">
        <x:v>Alonso / Franco</x:v>
      </x:c>
      <x:c r="J70" s="11" t="str">
        <x:v>Pendiente</x:v>
      </x:c>
      <x:c r="K70" s="11" t="str">
        <x:v>No</x:v>
      </x:c>
      <x:c r="L70" s="10" t="str">
        <x:v>TA-015</x:v>
      </x:c>
      <x:c r="M70" s="10"/>
    </x:row>
    <x:row r="71" ht="36" customHeight="1">
      <x:c r="A71" s="6" t="str">
        <x:v>TA-017</x:v>
      </x:c>
      <x:c r="B71" s="6" t="str">
        <x:v>Documentación</x:v>
      </x:c>
      <x:c r="C71" s="6" t="str">
        <x:v>Tarea documental</x:v>
      </x:c>
      <x:c r="D71" s="6" t="str">
        <x:v>Entregar manuales de usuario, administración, arquitectura y despliegue.</x:v>
      </x:c>
      <x:c r="E71" s="11" t="str">
        <x:v>Alta</x:v>
      </x:c>
      <x:c r="F71" s="12" t="n">
        <x:v>8</x:v>
      </x:c>
      <x:c r="G71" s="6" t="str">
        <x:v>Manuales actualizados; procedimientos reproducibles; versiones identificadas; entrega confirmada.</x:v>
      </x:c>
      <x:c r="H71" s="11" t="str">
        <x:v>Sprint 3</x:v>
      </x:c>
      <x:c r="I71" s="11" t="str">
        <x:v>Todo el equipo</x:v>
      </x:c>
      <x:c r="J71" s="11" t="str">
        <x:v>Pendiente</x:v>
      </x:c>
      <x:c r="K71" s="11" t="str">
        <x:v>No</x:v>
      </x:c>
      <x:c r="L71" s="6" t="str">
        <x:v>TA-015</x:v>
      </x:c>
      <x:c r="M71" s="6"/>
    </x:row>
    <x:row r="72" ht="36" customHeight="1">
      <x:c r="A72" s="10" t="str">
        <x:v>TA-018</x:v>
      </x:c>
      <x:c r="B72" s="10" t="str">
        <x:v>Cierre</x:v>
      </x:c>
      <x:c r="C72" s="10" t="str">
        <x:v>Tarea de gestión</x:v>
      </x:c>
      <x:c r="D72" s="10" t="str">
        <x:v>Formalizar la aceptación, transferencia y soporte inicial del proyecto.</x:v>
      </x:c>
      <x:c r="E72" s="11" t="str">
        <x:v>Crítica</x:v>
      </x:c>
      <x:c r="F72" s="12" t="n">
        <x:v>5</x:v>
      </x:c>
      <x:c r="G72" s="10" t="str">
        <x:v>Acta de aceptación; accesos transferidos; soporte inicial acordado; pendientes y responsables registrados.</x:v>
      </x:c>
      <x:c r="H72" s="11" t="str">
        <x:v>Sprint 3</x:v>
      </x:c>
      <x:c r="I72" s="11" t="str">
        <x:v>Felipe / Franco</x:v>
      </x:c>
      <x:c r="J72" s="11" t="str">
        <x:v>Pendiente</x:v>
      </x:c>
      <x:c r="K72" s="11" t="str">
        <x:v>No</x:v>
      </x:c>
      <x:c r="L72" s="10" t="str">
        <x:v>TA-016, TA-017</x:v>
      </x:c>
      <x:c r="M72" s="10"/>
    </x:row>
    <x:row r="73" ht="49" customHeight="1">
      <x:c r="A73" s="6" t="str">
        <x:v>HU-047</x:v>
      </x:c>
      <x:c r="B73" s="6" t="str">
        <x:v>Créditos de maestros</x:v>
      </x:c>
      <x:c r="C73" s="6" t="str">
        <x:v>Historia de usuario</x:v>
      </x:c>
      <x:c r="D73" s="6" t="str">
        <x:v>Como administrador, quiero gestionar el cupo comercial de maestros para autorizar compras de materiales dentro de los límites definidos.</x:v>
      </x:c>
      <x:c r="E73" s="11" t="str">
        <x:v>Alta</x:v>
      </x:c>
      <x:c r="F73" s="12" t="n">
        <x:v>8</x:v>
      </x:c>
      <x:c r="G73" s="6" t="str">
        <x:v>Cupo y saldo visibles solo a autorizados; bloqueo de sobregiro; cambios auditables; reglas de aprobación y crecimiento parametrizadas.</x:v>
      </x:c>
      <x:c r="H73" s="11" t="str">
        <x:v>Sprint 2</x:v>
      </x:c>
      <x:c r="I73" s="11" t="str">
        <x:v>Alonso / Franco</x:v>
      </x:c>
      <x:c r="J73" s="11" t="str">
        <x:v>Propuesto para validación</x:v>
      </x:c>
      <x:c r="K73" s="11" t="str">
        <x:v>No</x:v>
      </x:c>
      <x:c r="L73" s="6" t="str">
        <x:v>HU-004, HU-034</x:v>
      </x:c>
      <x:c r="M73" s="6" t="str">
        <x:v>Alcance incorporado al Sprint 2; aceptación pendiente de evidencia.</x:v>
      </x:c>
    </x:row>
  </x:sheetData>
  <x:conditionalFormatting sqref="J9:J73">
    <x:cfRule type="containsText" dxfId="0" priority="1" operator="containsText" text="Completado"/>
    <x:cfRule type="containsText" dxfId="1" priority="2" operator="containsText" text="Bloqueado"/>
  </x:conditionalFormatting>
  <x:dataValidations count="4">
    <x:dataValidation type="list" sqref="E9:E73">
      <x:formula1>"Crítica,Alta,Media,Baja"</x:formula1>
    </x:dataValidation>
    <x:dataValidation type="list" sqref="K9:K73">
      <x:formula1>"Sí,No,Parcial,Por verificar"</x:formula1>
    </x:dataValidation>
    <x:dataValidation type="list" sqref="J9:J73">
      <x:formula1>"Completado,En progreso,En revisión,Pendiente,Pendiente de verificación,Propuesto para validación"</x:formula1>
    </x:dataValidation>
    <x:dataValidation type="list" sqref="H9:H73">
      <x:formula1>"Sprint 1,Sprint 2,Sprint 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8e19369bf164207"/>
  </x:tableParts>
</x:worksheet>
</file>
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</sheets>
  <definedNames>
    <definedName hidden="1" localSheetId="0" name="Z_48BE6C56_9FD5_4005_9359_26A0581CF8BF_.wvu.FilterData">'Product Backlog'!$A$8:$M$72</definedName>
  </definedNames>
  <calcPr/>
  <customWorkbookViews>
    <customWorkbookView activeSheetId="0" maximized="1" windowHeight="0" windowWidth="0" guid="{48BE6C56-9FD5-4005-9359-26A0581CF8BF}" name="ProductBacklogSFI filter view"/>
  </customWorkbookViews>
  <extLst>
    <ext uri="GoogleSheetsCustomDataVersion2">
      <go:sheetsCustomData xmlns:go="http://customooxmlschemas.google.com/" r:id="rId5" roundtripDataChecksum="ryF/xX5k9pu/eL2/reDKCeGqwCD2pHnhBic+1wqJ4BY="/>
    </ext>
  </extLst>
</workbook>
</file>

<file path=xl/sharedStrings.xml><?xml version="1.0" encoding="utf-8"?>
<sst xmlns="http://schemas.openxmlformats.org/spreadsheetml/2006/main" count="720" uniqueCount="297">
  <si>
    <t>Product Backlog SFI</t>
  </si>
  <si>
    <t>Versión 2.1</t>
  </si>
  <si>
    <t>Actualizado</t>
  </si>
  <si>
    <t>Total PBIs</t>
  </si>
  <si>
    <t>SP totales</t>
  </si>
  <si>
    <t>Completados con DoD</t>
  </si>
  <si>
    <t>Tres sprints de trabajo; preparación incluida en Sprint 1. Seguimiento mediante weekly los jueves.</t>
  </si>
  <si>
    <t>Estados sujetos a evidencia. SP = estimación relativa; no representa horas.</t>
  </si>
  <si>
    <t>ID</t>
  </si>
  <si>
    <t>Épica</t>
  </si>
  <si>
    <t>Tipo de PBI</t>
  </si>
  <si>
    <t>Descripción</t>
  </si>
  <si>
    <t>Prioridad</t>
  </si>
  <si>
    <t>Story Points</t>
  </si>
  <si>
    <t>Criterios de aceptación</t>
  </si>
  <si>
    <t>Sprint</t>
  </si>
  <si>
    <t>Responsable</t>
  </si>
  <si>
    <t>Estado</t>
  </si>
  <si>
    <t>Cumple DoD</t>
  </si>
  <si>
    <t>Dependencias</t>
  </si>
  <si>
    <t>Observaciones</t>
  </si>
  <si>
    <t>TA-001</t>
  </si>
  <si>
    <t>Inicio del proyecto</t>
  </si>
  <si>
    <t>Tarea de gestión</t>
  </si>
  <si>
    <t>Definir el Product Goal, el problema y la propuesta de valor de SFI.</t>
  </si>
  <si>
    <t>Crítica</t>
  </si>
  <si>
    <t>Product Goal redactado; problema y valor identificados; aprobación del Product Owner.</t>
  </si>
  <si>
    <t>Sprint 1</t>
  </si>
  <si>
    <t>Felipe / Todo el equipo</t>
  </si>
  <si>
    <t>Completado</t>
  </si>
  <si>
    <t>Sí</t>
  </si>
  <si>
    <t>Ninguna</t>
  </si>
  <si>
    <t>TA-002</t>
  </si>
  <si>
    <t>Identificar usuarios, stakeholders y responsabilidades del equipo Scrum.</t>
  </si>
  <si>
    <t>Alta</t>
  </si>
  <si>
    <t>Usuarios y stakeholders registrados; roles Scrum asignados; responsabilidades comunicadas.</t>
  </si>
  <si>
    <t>Felipe / Franco</t>
  </si>
  <si>
    <t>TA-003</t>
  </si>
  <si>
    <t>Gestión Scrum</t>
  </si>
  <si>
    <t>Crear y priorizar el Product Backlog inicial del proyecto.</t>
  </si>
  <si>
    <t>PBIs identificados; prioridades asignadas; distribución en tres sprints definida; backlog revisado por el equipo.</t>
  </si>
  <si>
    <t>TA-001, TA-002</t>
  </si>
  <si>
    <t>TA-004</t>
  </si>
  <si>
    <t>Definir criterios de terminado y aceptación, riesgos y seguimiento mediante weeklys.</t>
  </si>
  <si>
    <t>DoD documentada; weekly de los jueves definida; riesgos y acuerdos de comunicación registrados.</t>
  </si>
  <si>
    <t>Franco / Todo el equipo</t>
  </si>
  <si>
    <t>TA-005</t>
  </si>
  <si>
    <t>Arquitectura</t>
  </si>
  <si>
    <t>Tarea técnica</t>
  </si>
  <si>
    <t>Configurar el proyecto Django, la base de datos y el ambiente de desarrollo compartido.</t>
  </si>
  <si>
    <t>Proyecto ejecutable; conexión a base de datos operativa; dependencias documentadas; instalación reproducible.</t>
  </si>
  <si>
    <t>Alonso</t>
  </si>
  <si>
    <t>TA-006</t>
  </si>
  <si>
    <t>Definir la estructura modular, rutas, configuraciones y estándares técnicos.</t>
  </si>
  <si>
    <t>Módulos separados; rutas base disponibles; configuración por ambiente; convenciones acordadas.</t>
  </si>
  <si>
    <t>Alonso / Franco</t>
  </si>
  <si>
    <t>HU-001</t>
  </si>
  <si>
    <t>Experiencia transversal</t>
  </si>
  <si>
    <t>Historia de usuario</t>
  </si>
  <si>
    <t>Como usuario, quiero una navegación base clara y adaptable para recorrer la plataforma desde distintos dispositivos.</t>
  </si>
  <si>
    <t>Página inicial disponible; navegación funcional; componentes base reutilizables; diseño responsive.</t>
  </si>
  <si>
    <t>Vicente</t>
  </si>
  <si>
    <t>HU-002</t>
  </si>
  <si>
    <t>Usuarios</t>
  </si>
  <si>
    <t>Como cliente, quiero registrarme e iniciar sesión para acceder a mis compras y funciones personales.</t>
  </si>
  <si>
    <t>Registro válido; correo único; inicio y cierre de sesión; mensajes ante datos incorrectos.</t>
  </si>
  <si>
    <t>Alonso / Vicente</t>
  </si>
  <si>
    <t>HU-003</t>
  </si>
  <si>
    <t>Como cliente, quiero recuperar mi contraseña para volver a acceder si la olvido.</t>
  </si>
  <si>
    <t>Solicitud por correo; enlace temporal; cambio de contraseña; confirmación al usuario.</t>
  </si>
  <si>
    <t>HU-004</t>
  </si>
  <si>
    <t>Como administrador, quiero asignar roles y permisos para controlar el acceso a las funciones del sistema.</t>
  </si>
  <si>
    <t>Roles diferenciados; accesos protegidos; usuarios no autorizados bloqueados; pruebas de permisos aprobadas.</t>
  </si>
  <si>
    <t>HU-005</t>
  </si>
  <si>
    <t>Como usuario, quiero consultar y actualizar los datos de mi cuenta para mantener mi información vigente.</t>
  </si>
  <si>
    <t>Media</t>
  </si>
  <si>
    <t>Datos visibles; campos editables validados; cambios persistentes; mensajes de confirmación.</t>
  </si>
  <si>
    <t>Vicente / Alonso</t>
  </si>
  <si>
    <t>HU-046</t>
  </si>
  <si>
    <t>Kardex</t>
  </si>
  <si>
    <t>Como encargado de bodega, quiero consultar entradas, salidas y ajustes por producto para reconstruir el saldo de inventario.</t>
  </si>
  <si>
    <t>Cada movimiento registra producto, tipo, cantidad, fecha, usuario y referencia; saldo conciliable; correcciones mediante movimiento de ajuste.</t>
  </si>
  <si>
    <t>Sprint 2</t>
  </si>
  <si>
    <t>Pendiente de verificación</t>
  </si>
  <si>
    <t>Por verificar</t>
  </si>
  <si>
    <t>HU-008, HU-010</t>
  </si>
  <si>
    <t>Alcance incorporado al Sprint 2; aceptación pendiente de evidencia.</t>
  </si>
  <si>
    <t>HU-006</t>
  </si>
  <si>
    <t>Catálogo</t>
  </si>
  <si>
    <t>Como cliente, quiero buscar y filtrar productos para encontrar rápidamente lo que necesito.</t>
  </si>
  <si>
    <t>Listado paginado; búsqueda por texto; filtros por categoría; solo productos publicados visibles.</t>
  </si>
  <si>
    <t>HU-007</t>
  </si>
  <si>
    <t>Como cliente, quiero revisar la ficha de un producto para conocer precio, imágenes, stock y características.</t>
  </si>
  <si>
    <t>Ficha completa; imágenes visibles; precio y oferta correctos; disponibilidad informada.</t>
  </si>
  <si>
    <t>HU-008</t>
  </si>
  <si>
    <t>Como administrador, quiero crear y editar productos para mantener actualizado el catálogo.</t>
  </si>
  <si>
    <t>Alta y edición disponibles; imágenes cargables; datos obligatorios validados; publicación controlada.</t>
  </si>
  <si>
    <t>HU-009</t>
  </si>
  <si>
    <t>Como administrador, quiero gestionar categorías y ofertas para organizar y promocionar productos.</t>
  </si>
  <si>
    <t>Categorías administrables; ofertas con vigencia; precios coherentes; cambios visibles en catálogo.</t>
  </si>
  <si>
    <t>HU-010</t>
  </si>
  <si>
    <t>Inventario</t>
  </si>
  <si>
    <t>Como administrador, quiero controlar las existencias para evitar ventas sin disponibilidad.</t>
  </si>
  <si>
    <t>Stock consultable y editable; movimientos registrados; valores negativos bloqueados; alertas por stock bajo.</t>
  </si>
  <si>
    <t>HU-011</t>
  </si>
  <si>
    <t>Abastecimiento</t>
  </si>
  <si>
    <t>Como administrador, quiero registrar proveedores e historial de precios para gestionar el abastecimiento.</t>
  </si>
  <si>
    <t>Proveedores administrables; productos asociados; historial de precios; datos de contacto validados.</t>
  </si>
  <si>
    <t>HU-012</t>
  </si>
  <si>
    <t>Como administrador, quiero generar solicitudes de reposición para recuperar productos con stock bajo.</t>
  </si>
  <si>
    <t>Productos bajo mínimo identificados; solicitud creada; estado controlado; recepción actualiza existencias.</t>
  </si>
  <si>
    <t>HU-010, HU-011</t>
  </si>
  <si>
    <t>HU-013</t>
  </si>
  <si>
    <t>Carrito</t>
  </si>
  <si>
    <t>Como cliente, quiero agregar y eliminar productos del carrito para preparar mi compra.</t>
  </si>
  <si>
    <t>Agregar desde catálogo y ficha; eliminar producto; carrito asociado a sesión; contenido persistente.</t>
  </si>
  <si>
    <t>HU-006, HU-007</t>
  </si>
  <si>
    <t>HU-014</t>
  </si>
  <si>
    <t>Como cliente, quiero modificar cantidades y revisar totales para controlar el costo de mi compra.</t>
  </si>
  <si>
    <t>Cantidades actualizables; subtotales y total correctos; límites validados; interfaz clara.</t>
  </si>
  <si>
    <t>HU-015</t>
  </si>
  <si>
    <t>Como cliente, quiero que el carrito valide el stock disponible para evitar solicitar cantidades que no puedan venderse.</t>
  </si>
  <si>
    <t>Validación al agregar y actualizar; mensaje de falta de stock; carrito corregible; stock no reservado erróneamente.</t>
  </si>
  <si>
    <t>HU-008, HU-014</t>
  </si>
  <si>
    <t>Completado en Sprint 1 con DoD cumplida, según el estado registrado.</t>
  </si>
  <si>
    <t>HU-016</t>
  </si>
  <si>
    <t>Ventas</t>
  </si>
  <si>
    <t>Como cliente, quiero confirmar el carrito y generar una venta para continuar con el pago.</t>
  </si>
  <si>
    <t>Venta y detalle creados; precios conservados; carrito validado; estado inicial asignado.</t>
  </si>
  <si>
    <t>HU-014, HU-015</t>
  </si>
  <si>
    <t>HU-017</t>
  </si>
  <si>
    <t>Entrega</t>
  </si>
  <si>
    <t>Como cliente, quiero elegir retiro o despacho para recibir mi compra de la forma más conveniente.</t>
  </si>
  <si>
    <t>Modalidades disponibles; dirección validada para despacho; sucursal definida para retiro; elección guardada.</t>
  </si>
  <si>
    <t>HU-018</t>
  </si>
  <si>
    <t>Como cliente, quiero consultar mi boleta e historial para revisar compras anteriores.</t>
  </si>
  <si>
    <t>Boleta con detalle y totales; historial por usuario; acceso privado; información consistente.</t>
  </si>
  <si>
    <t>HU-019</t>
  </si>
  <si>
    <t>Como administrador, quiero actualizar estados de ventas, retiros y despachos para informar el avance al cliente.</t>
  </si>
  <si>
    <t>Estados permitidos; transiciones controladas; panel administrativo; estado visible al cliente.</t>
  </si>
  <si>
    <t>HU-016, HU-017</t>
  </si>
  <si>
    <t>HU-020</t>
  </si>
  <si>
    <t>Pagos</t>
  </si>
  <si>
    <t>Como cliente, quiero iniciar un pago con Webpay Plus para pagar mi compra de forma electrónica.</t>
  </si>
  <si>
    <t>Transacción creada con monto correcto; redirección válida; venta vinculada; errores controlados.</t>
  </si>
  <si>
    <t>HU-021</t>
  </si>
  <si>
    <t>Como cliente, quiero conocer el resultado del pago para saber si mi compra fue aprobada, rechazada o cancelada.</t>
  </si>
  <si>
    <t>Retorno validado; estados actualizados; pantallas claras; reintentos y duplicidad controlados.</t>
  </si>
  <si>
    <t>HU-022</t>
  </si>
  <si>
    <t>Como empresa, quiero validar las respuestas de Webpay para proteger la integridad de las ventas.</t>
  </si>
  <si>
    <t>Tokens y montos verificados; datos sensibles no almacenados; respuestas inválidas rechazadas; pruebas aprobadas.</t>
  </si>
  <si>
    <t>HU-023</t>
  </si>
  <si>
    <t>Como usuario, quiero una identidad visual SFI consistente para reconocer y utilizar fácilmente la plataforma.</t>
  </si>
  <si>
    <t>Colores y componentes unificados; encabezado y pie comunes; mensajes consistentes; pantallas principales actualizadas.</t>
  </si>
  <si>
    <t>Vicente / Felipe</t>
  </si>
  <si>
    <t>HU-025</t>
  </si>
  <si>
    <t>Administración</t>
  </si>
  <si>
    <t>Como administrador, quiero formularios y paneles claros para gestionar la plataforma con menos errores.</t>
  </si>
  <si>
    <t>Formularios ordenados; validaciones visibles; navegación administrativa consistente; recorridos probados.</t>
  </si>
  <si>
    <t>HU-004, HU-023</t>
  </si>
  <si>
    <t>HU-026</t>
  </si>
  <si>
    <t>Asistente IA</t>
  </si>
  <si>
    <t>Como cliente, quiero describir un proyecto doméstico para recibir orientación sobre cómo realizarlo.</t>
  </si>
  <si>
    <t>Chat disponible; consulta enviada; respuesta comprensible; límites y advertencias informados.</t>
  </si>
  <si>
    <t>HU-027</t>
  </si>
  <si>
    <t>Como cliente, quiero recibir productos del catálogo relacionados con mi consulta para agregarlos a mi compra.</t>
  </si>
  <si>
    <t>Recomendaciones vinculadas a productos existentes; disponibilidad considerada; enlaces a ficha; sin productos inventados.</t>
  </si>
  <si>
    <t>Alonso / Felipe</t>
  </si>
  <si>
    <t>HU-026, HU-006</t>
  </si>
  <si>
    <t>HU-028</t>
  </si>
  <si>
    <t xml:space="preserve">Como cliente, quiero obtener una lista estimada de materiales </t>
  </si>
  <si>
    <t>Materiales enumerados; cantidades identificadas como estimaciones; tiempo aproximado; recomendaciones explicadas.</t>
  </si>
  <si>
    <t>HU-029</t>
  </si>
  <si>
    <t>Como empresa, quiero controlar errores y respuestas inseguras de la IA para entregar orientación responsable.</t>
  </si>
  <si>
    <t>Errores externos controlados; consultas ambiguas aclaradas; contenido riesgoso limitado; registros sin datos sensibles.</t>
  </si>
  <si>
    <t>HU-030</t>
  </si>
  <si>
    <t>Pintura inteligente</t>
  </si>
  <si>
    <t>Como cliente, quiero calcular la pintura necesaria según las dimensiones para comprar una cantidad adecuada.</t>
  </si>
  <si>
    <t>Superficie calculada; puertas y ventanas descontables; rendimiento y manos configurables; resultado verificable.</t>
  </si>
  <si>
    <t>HU-031</t>
  </si>
  <si>
    <t>Como cliente, quiero subir una fotografía para recibir recomendaciones de colores relacionadas con el espacio.</t>
  </si>
  <si>
    <t>Imagen válida cargada; formato y tamaño controlados; análisis ejecutado; colores sugeridos mostrados.</t>
  </si>
  <si>
    <t>HU-032</t>
  </si>
  <si>
    <t>Como cliente, quiero visualizar colores y variantes de pintura para comparar alternativas antes de comprar.</t>
  </si>
  <si>
    <t>Paleta visible; variantes relacionadas con catálogo; resultado diferenciable de una simulación exacta; interfaz responsive.</t>
  </si>
  <si>
    <t>HU-031, HU-007</t>
  </si>
  <si>
    <t>HU-033</t>
  </si>
  <si>
    <t>Como cliente, quiero agregar las pinturas recomendadas al carrito para completar la compra asistida.</t>
  </si>
  <si>
    <t>Producto y variante correctos; cantidad calculada transferida; stock validado; carrito actualizado.</t>
  </si>
  <si>
    <t>HU-030, HU-032, HU-013</t>
  </si>
  <si>
    <t>HU-034</t>
  </si>
  <si>
    <t>Maestros</t>
  </si>
  <si>
    <t>Como maestro, quiero crear un perfil profesional para ofrecer mis servicios en la plataforma.</t>
  </si>
  <si>
    <t>Registro diferenciado; perfil privado creado; datos obligatorios validados; estado pendiente asignado.</t>
  </si>
  <si>
    <t>HU-002, HU-004</t>
  </si>
  <si>
    <t>HU-035</t>
  </si>
  <si>
    <t>Como maestro, quiero registrar especialidades, ubicación y experiencia para describir mis capacidades.</t>
  </si>
  <si>
    <t>Especialidades seleccionables; región y comuna válidas; experiencia editable; información guardada.</t>
  </si>
  <si>
    <t>HU-036</t>
  </si>
  <si>
    <t>Como maestro, quiero publicar trabajos anteriores para demostrar mi experiencia a los clientes.</t>
  </si>
  <si>
    <t>Portafolio administrable; imágenes y descripción validadas; trabajos asociados al perfil; privacidad controlada.</t>
  </si>
  <si>
    <t>HU-037</t>
  </si>
  <si>
    <t>Como administrador, quiero aprobar o rechazar perfiles para publicar únicamente maestros validados.</t>
  </si>
  <si>
    <t>Panel de revisión; aprobación y rechazo registrados; solo aprobados visibles; directorio público disponible.</t>
  </si>
  <si>
    <t>HU-034, HU-035</t>
  </si>
  <si>
    <t>HU-038</t>
  </si>
  <si>
    <t>Servicios de maestros</t>
  </si>
  <si>
    <t>Como maestro autenticado, quiero consultar y actualizar mi información mediante servicios seguros.</t>
  </si>
  <si>
    <t>API privada autenticada; el maestro consulta y actualiza solo su perfil; sesión y CSRF activos; cambios sensibles devuelven el perfil a revisión.</t>
  </si>
  <si>
    <t>En revisión</t>
  </si>
  <si>
    <t>Parcial</t>
  </si>
  <si>
    <t>HU-039</t>
  </si>
  <si>
    <t>Como administrador, quiero gestionar perfiles y como cliente consultar maestros aprobados mediante servicios diferenciados.</t>
  </si>
  <si>
    <t>Administración puede aprobar, rechazar o suspender; la API pública muestra solo perfiles aprobados y datos profesionales autorizados.</t>
  </si>
  <si>
    <t>HU-040</t>
  </si>
  <si>
    <t>Seguridad funcional</t>
  </si>
  <si>
    <t>Como usuario, quiero que la información privada de los maestros esté protegida para evitar accesos no autorizados.</t>
  </si>
  <si>
    <t>No se exponen RUT, correo, teléfono ni observaciones; se impide consultar o modificar objetos de otro usuario; permisos verificados en servidor.</t>
  </si>
  <si>
    <t>Franco / Alonso</t>
  </si>
  <si>
    <t>HU-038, HU-039</t>
  </si>
  <si>
    <t>TA-007</t>
  </si>
  <si>
    <t>Integración</t>
  </si>
  <si>
    <t>Integrar y verificar perfiles de maestros, vistas, APIs públicas y privadas, permisos y regresión dentro del Sprint 2.</t>
  </si>
  <si>
    <t>Vistas y APIs coexisten; flujos principales integrados; pruebas de propiedad, permisos, visibilidad y validaciones disponibles; sin defecto crítico conocido.</t>
  </si>
  <si>
    <t>Todo el equipo</t>
  </si>
  <si>
    <t>HU-001 a HU-040</t>
  </si>
  <si>
    <t>HU-041</t>
  </si>
  <si>
    <t>Promoción y contacto de maestros</t>
  </si>
  <si>
    <t>Como cliente, quiero consultar los medios de contacto de un maestro aprobado para conversar externamente sobre un trabajo.</t>
  </si>
  <si>
    <t>Perfil aprobado visible; contacto público autorizado; aviso de negociación externa; perfiles rechazados ocultos.</t>
  </si>
  <si>
    <t>Propuesto para validación</t>
  </si>
  <si>
    <t>No</t>
  </si>
  <si>
    <t>Reformulado para respetar el alcance de promoción y contacto.</t>
  </si>
  <si>
    <t>HU-042</t>
  </si>
  <si>
    <t>Como maestro, quiero publicar una descripción de mis servicios para informar a los clientes antes del contacto externo.</t>
  </si>
  <si>
    <t>Descripción editable por su propietario; datos validados; publicación sujeta a aprobación; sin cotización contractual dentro de SFI.</t>
  </si>
  <si>
    <t>HU-043</t>
  </si>
  <si>
    <t>Como maestro, quiero indicar mi disponibilidad general de contacto para orientar a los clientes.</t>
  </si>
  <si>
    <t>Disponibilidad informativa editable; visible en perfil aprobado; aviso de que no constituye reserva de obra.</t>
  </si>
  <si>
    <t>HU-044</t>
  </si>
  <si>
    <t>Como cliente, quiero conocer el alcance del directorio de maestros para entender cómo contactar y negociar fuera de SFI.</t>
  </si>
  <si>
    <t>Aviso visible antes del contacto; negociación y ejecución externas; sin seguimiento contractual de obras en la plataforma.</t>
  </si>
  <si>
    <t>HU-041, HU-042</t>
  </si>
  <si>
    <t>TA-008</t>
  </si>
  <si>
    <t>Personalización empresarial</t>
  </si>
  <si>
    <t>Aplicar la identidad visual y configuración comercial de la empresa compradora.</t>
  </si>
  <si>
    <t>Marca configurable; datos corporativos actualizados; reglas comerciales aplicadas; aprobación del cliente.</t>
  </si>
  <si>
    <t>Pendiente</t>
  </si>
  <si>
    <t>TA-009</t>
  </si>
  <si>
    <t>Migración</t>
  </si>
  <si>
    <t>Preparar y cargar el catálogo, precios, stock y datos iniciales entregados por la empresa.</t>
  </si>
  <si>
    <t>Formato de carga validado; datos depurados; importación trazable; totales reconciliados.</t>
  </si>
  <si>
    <t>TA-010</t>
  </si>
  <si>
    <t>Integraciones corporativas</t>
  </si>
  <si>
    <t>Integrar las fuentes empresariales acordadas para catálogo, stock o despacho.</t>
  </si>
  <si>
    <t>Contrato de integración definido; autenticación segura; sincronización controlada; errores y reintentos registrados.</t>
  </si>
  <si>
    <t>TA-011</t>
  </si>
  <si>
    <t>Seguridad</t>
  </si>
  <si>
    <t>Fortalecer autenticación, autorización, privacidad y manejo seguro de configuraciones.</t>
  </si>
  <si>
    <t>Secretos fuera del código; permisos auditados; entradas validadas; hallazgos críticos corregidos.</t>
  </si>
  <si>
    <t>Sprint 3</t>
  </si>
  <si>
    <t>TA-012</t>
  </si>
  <si>
    <t>Rendimiento</t>
  </si>
  <si>
    <t>Optimizar consultas y recorridos críticos para mantener tiempos de respuesta aceptables.</t>
  </si>
  <si>
    <t>Consultas críticas medidas; cargas redundantes reducidas; páginas principales dentro del objetivo acordado.</t>
  </si>
  <si>
    <t>TA-013</t>
  </si>
  <si>
    <t>Calidad</t>
  </si>
  <si>
    <t>Tarea de calidad</t>
  </si>
  <si>
    <t>Ejecutar regresión integral y resolver defectos antes del piloto.</t>
  </si>
  <si>
    <t>Casos principales ejecutados; defectos clasificados; críticos cerrados; evidencia de resultados disponible.</t>
  </si>
  <si>
    <t>TA-011, TA-012</t>
  </si>
  <si>
    <t>HU-045</t>
  </si>
  <si>
    <t>Piloto</t>
  </si>
  <si>
    <t>Como representante de la empresa, quiero ejecutar casos de aceptación para validar que SFI cumple lo acordado.</t>
  </si>
  <si>
    <t>Casos UAT definidos; usuarios piloto habilitados; resultados registrados; aceptación o brechas documentadas.</t>
  </si>
  <si>
    <t>TA-014</t>
  </si>
  <si>
    <t>Capacitación</t>
  </si>
  <si>
    <t>Tarea de capacitación</t>
  </si>
  <si>
    <t>Capacitar administradores y usuarios clave para operar la plataforma.</t>
  </si>
  <si>
    <t>Material preparado; sesión realizada; dudas registradas; participantes capaces de ejecutar tareas principales.</t>
  </si>
  <si>
    <t>TA-015</t>
  </si>
  <si>
    <t>Corregir observaciones prioritarias detectadas durante la aceptación de usuario.</t>
  </si>
  <si>
    <t>Observaciones priorizadas; correcciones implementadas; regresión selectiva; cierre validado.</t>
  </si>
  <si>
    <t>TA-016</t>
  </si>
  <si>
    <t>Despliegue</t>
  </si>
  <si>
    <t>Desplegar la versión aceptada con respaldo y configuración del ambiente productivo.</t>
  </si>
  <si>
    <t>Ambiente operativo; variables seguras; respaldo probado; verificación posterior al despliegue.</t>
  </si>
  <si>
    <t>TA-017</t>
  </si>
  <si>
    <t>Documentación</t>
  </si>
  <si>
    <t>Tarea documental</t>
  </si>
  <si>
    <t>Entregar manuales de usuario, administración, arquitectura y despliegue.</t>
  </si>
  <si>
    <t>Manuales actualizados; procedimientos reproducibles; versiones identificadas; entrega confirmada.</t>
  </si>
  <si>
    <t>TA-018</t>
  </si>
  <si>
    <t>Cierre</t>
  </si>
  <si>
    <t>Formalizar la aceptación, transferencia y soporte inicial del proyecto.</t>
  </si>
  <si>
    <t>Acta de aceptación; accesos transferidos; soporte inicial acordado; pendientes y responsables registrados.</t>
  </si>
  <si>
    <t>TA-016, TA-017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</si>
</sst>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1.0"/>
      <color rgb="FF000000"/>
      <name val="Carlito"/>
      <scheme val="minor"/>
    </font>
    <font>
      <sz val="10.0"/>
      <color rgb="FF172B4D"/>
      <name val="Arial"/>
    </font>
    <font>
      <b/>
      <sz val="16.0"/>
      <color rgb="FF163A5F"/>
      <name val="Arial"/>
    </font>
    <font>
      <i/>
      <sz val="10.0"/>
      <color rgb="FF526477"/>
      <name val="Arial"/>
    </font>
    <font>
      <b/>
      <sz val="10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63A5F"/>
        <bgColor rgb="FF163A5F"/>
      </patternFill>
    </fill>
    <fill>
      <patternFill patternType="solid">
        <fgColor rgb="FFFFF5CC"/>
        <bgColor rgb="FFFFF5CC"/>
      </patternFill>
    </fill>
    <fill>
      <patternFill patternType="solid">
        <fgColor rgb="FFF1F5F9"/>
        <bgColor rgb="FFF1F5F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0" fontId="3" numFmtId="0" xfId="0" applyAlignment="1" applyFont="1">
      <alignment vertical="center"/>
    </xf>
    <xf borderId="1" fillId="2" fontId="4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3" fontId="1" numFmtId="0" xfId="0" applyAlignment="1" applyBorder="1" applyFill="1" applyFont="1">
      <alignment shrinkToFit="0" vertical="center" wrapText="1"/>
    </xf>
    <xf borderId="1" fillId="3" fontId="1" numFmtId="1" xfId="0" applyAlignment="1" applyBorder="1" applyFill="1" applyFont="1" applyNumberFormat="1">
      <alignment shrinkToFit="0" vertical="center" wrapText="1"/>
    </xf>
    <xf borderId="1" fillId="4" fontId="1" numFmtId="0" xfId="0" applyAlignment="1" applyBorder="1" applyFill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color rgb="FF14532D"/>
      </font>
      <fill>
        <patternFill patternType="solid">
          <fgColor rgb="FFDCF3E3"/>
          <bgColor rgb="FFDCF3E3"/>
        </patternFill>
      </fill>
      <border/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</dxfs>
  <tableStyles count="1">
    <tableStyle count="4" pivot="0" name="Product Backlo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8:M72" displayName="ProductBacklogSFI" name="ProductBacklogSFI" id="1">
  <tableColumns count="13">
    <tableColumn name="ID" id="1"/>
    <tableColumn name="Épica" id="2"/>
    <tableColumn name="Tipo de PBI" id="3"/>
    <tableColumn name="Descripción" id="4"/>
    <tableColumn name="Prioridad" id="5"/>
    <tableColumn name="Story Points" id="6"/>
    <tableColumn name="Criterios de aceptación" id="7"/>
    <tableColumn name="Sprint" id="8"/>
    <tableColumn name="Responsable" id="9"/>
    <tableColumn name="Estado" id="10"/>
    <tableColumn name="Cumple DoD" id="11"/>
    <tableColumn name="Dependencias" id="12"/>
    <tableColumn name="Observaciones" id="13"/>
  </tableColumns>
  <tableStyleInfo name="Product Back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3A5F"/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14.0"/>
    <col customWidth="1" min="2" max="2" width="27.0"/>
    <col customWidth="1" min="3" max="3" width="23.0"/>
    <col customWidth="1" min="4" max="4" width="64.0"/>
    <col customWidth="1" min="5" max="5" width="16.0"/>
    <col customWidth="1" min="6" max="6" width="14.0"/>
    <col customWidth="1" min="7" max="7" width="72.0"/>
    <col customWidth="1" min="8" max="8" width="20.0"/>
    <col customWidth="1" min="9" max="10" width="27.0"/>
    <col customWidth="1" min="11" max="11" width="18.0"/>
    <col customWidth="1" min="12" max="12" width="30.0"/>
    <col customWidth="1" min="13" max="13" width="57.0"/>
    <col customWidth="1" min="14" max="26" width="8.8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3.5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3.5" customHeight="1">
      <c r="A3" s="1" t="s">
        <v>1</v>
      </c>
      <c r="B3" s="1"/>
      <c r="C3" s="1" t="s">
        <v>2</v>
      </c>
      <c r="D3" s="3">
        <v>46321.5</v>
      </c>
      <c r="E3" s="1"/>
      <c r="F3" s="1"/>
      <c r="G3" s="1"/>
      <c r="H3" s="1"/>
      <c r="I3" s="1"/>
      <c r="J3" s="1"/>
      <c r="K3" s="1"/>
      <c r="L3" s="1"/>
      <c r="M3" s="1"/>
    </row>
    <row r="4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13.5" customHeight="1">
      <c r="A5" s="1" t="s">
        <v>3</v>
      </c>
      <c r="B5" s="1">
        <f>COUNTA(A9:A72)</f>
        <v>63</v>
      </c>
      <c r="C5" s="1" t="s">
        <v>4</v>
      </c>
      <c r="D5" s="4">
        <f>SUM(F9:F72)</f>
        <v>403</v>
      </c>
      <c r="E5" s="1" t="s">
        <v>5</v>
      </c>
      <c r="F5" s="1">
        <f>COUNTIFS(J9:J72,"Completado",K9:K72,"Sí")</f>
        <v>42</v>
      </c>
      <c r="G5" s="1"/>
      <c r="H5" s="1"/>
      <c r="I5" s="1"/>
      <c r="J5" s="1"/>
      <c r="K5" s="1"/>
      <c r="L5" s="1"/>
      <c r="M5" s="1"/>
    </row>
    <row r="6" ht="13.5" customHeight="1">
      <c r="A6" s="5" t="s">
        <v>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ht="13.5" customHeight="1">
      <c r="A7" s="5" t="s">
        <v>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ht="36.0" customHeight="1">
      <c r="A8" s="6" t="s">
        <v>8</v>
      </c>
      <c r="B8" s="6" t="s">
        <v>9</v>
      </c>
      <c r="C8" s="6" t="s">
        <v>10</v>
      </c>
      <c r="D8" s="6" t="s">
        <v>11</v>
      </c>
      <c r="E8" s="6" t="s">
        <v>12</v>
      </c>
      <c r="F8" s="6" t="s">
        <v>13</v>
      </c>
      <c r="G8" s="6" t="s">
        <v>14</v>
      </c>
      <c r="H8" s="6" t="s">
        <v>15</v>
      </c>
      <c r="I8" s="6" t="s">
        <v>16</v>
      </c>
      <c r="J8" s="6" t="s">
        <v>17</v>
      </c>
      <c r="K8" s="6" t="s">
        <v>18</v>
      </c>
      <c r="L8" s="6" t="s">
        <v>19</v>
      </c>
      <c r="M8" s="6" t="s">
        <v>20</v>
      </c>
    </row>
    <row r="9" ht="36.0" customHeight="1">
      <c r="A9" s="7" t="s">
        <v>21</v>
      </c>
      <c r="B9" s="7" t="s">
        <v>22</v>
      </c>
      <c r="C9" s="7" t="s">
        <v>23</v>
      </c>
      <c r="D9" s="7" t="s">
        <v>24</v>
      </c>
      <c r="E9" s="8" t="s">
        <v>25</v>
      </c>
      <c r="F9" s="9">
        <v>3.0</v>
      </c>
      <c r="G9" s="7" t="s">
        <v>26</v>
      </c>
      <c r="H9" s="8" t="s">
        <v>27</v>
      </c>
      <c r="I9" s="8" t="s">
        <v>28</v>
      </c>
      <c r="J9" s="8" t="s">
        <v>29</v>
      </c>
      <c r="K9" s="8" t="s">
        <v>30</v>
      </c>
      <c r="L9" s="7" t="s">
        <v>31</v>
      </c>
      <c r="M9" s="7"/>
    </row>
    <row r="10" ht="36.0" customHeight="1">
      <c r="A10" s="10" t="s">
        <v>32</v>
      </c>
      <c r="B10" s="10" t="s">
        <v>22</v>
      </c>
      <c r="C10" s="10" t="s">
        <v>23</v>
      </c>
      <c r="D10" s="10" t="s">
        <v>33</v>
      </c>
      <c r="E10" s="8" t="s">
        <v>34</v>
      </c>
      <c r="F10" s="9">
        <v>2.0</v>
      </c>
      <c r="G10" s="10" t="s">
        <v>35</v>
      </c>
      <c r="H10" s="8" t="s">
        <v>27</v>
      </c>
      <c r="I10" s="8" t="s">
        <v>36</v>
      </c>
      <c r="J10" s="8" t="s">
        <v>29</v>
      </c>
      <c r="K10" s="8" t="s">
        <v>30</v>
      </c>
      <c r="L10" s="10" t="s">
        <v>21</v>
      </c>
      <c r="M10" s="10"/>
    </row>
    <row r="11" ht="36.0" customHeight="1">
      <c r="A11" s="7" t="s">
        <v>37</v>
      </c>
      <c r="B11" s="7" t="s">
        <v>38</v>
      </c>
      <c r="C11" s="7" t="s">
        <v>23</v>
      </c>
      <c r="D11" s="7" t="s">
        <v>39</v>
      </c>
      <c r="E11" s="8" t="s">
        <v>25</v>
      </c>
      <c r="F11" s="9">
        <v>5.0</v>
      </c>
      <c r="G11" s="7" t="s">
        <v>40</v>
      </c>
      <c r="H11" s="8" t="s">
        <v>27</v>
      </c>
      <c r="I11" s="8" t="s">
        <v>36</v>
      </c>
      <c r="J11" s="8" t="s">
        <v>29</v>
      </c>
      <c r="K11" s="8" t="s">
        <v>30</v>
      </c>
      <c r="L11" s="7" t="s">
        <v>41</v>
      </c>
      <c r="M11" s="7"/>
    </row>
    <row r="12" ht="36.0" customHeight="1">
      <c r="A12" s="10" t="s">
        <v>42</v>
      </c>
      <c r="B12" s="10" t="s">
        <v>38</v>
      </c>
      <c r="C12" s="10" t="s">
        <v>23</v>
      </c>
      <c r="D12" s="10" t="s">
        <v>43</v>
      </c>
      <c r="E12" s="8" t="s">
        <v>34</v>
      </c>
      <c r="F12" s="9">
        <v>3.0</v>
      </c>
      <c r="G12" s="10" t="s">
        <v>44</v>
      </c>
      <c r="H12" s="8" t="s">
        <v>27</v>
      </c>
      <c r="I12" s="8" t="s">
        <v>45</v>
      </c>
      <c r="J12" s="8" t="s">
        <v>29</v>
      </c>
      <c r="K12" s="8" t="s">
        <v>30</v>
      </c>
      <c r="L12" s="10" t="s">
        <v>32</v>
      </c>
      <c r="M12" s="10"/>
    </row>
    <row r="13" ht="36.0" customHeight="1">
      <c r="A13" s="7" t="s">
        <v>46</v>
      </c>
      <c r="B13" s="7" t="s">
        <v>47</v>
      </c>
      <c r="C13" s="7" t="s">
        <v>48</v>
      </c>
      <c r="D13" s="7" t="s">
        <v>49</v>
      </c>
      <c r="E13" s="8" t="s">
        <v>25</v>
      </c>
      <c r="F13" s="9">
        <v>5.0</v>
      </c>
      <c r="G13" s="7" t="s">
        <v>50</v>
      </c>
      <c r="H13" s="8" t="s">
        <v>27</v>
      </c>
      <c r="I13" s="8" t="s">
        <v>51</v>
      </c>
      <c r="J13" s="8" t="s">
        <v>29</v>
      </c>
      <c r="K13" s="8" t="s">
        <v>30</v>
      </c>
      <c r="L13" s="7" t="s">
        <v>37</v>
      </c>
      <c r="M13" s="7"/>
    </row>
    <row r="14" ht="36.0" customHeight="1">
      <c r="A14" s="10" t="s">
        <v>52</v>
      </c>
      <c r="B14" s="10" t="s">
        <v>47</v>
      </c>
      <c r="C14" s="10" t="s">
        <v>48</v>
      </c>
      <c r="D14" s="10" t="s">
        <v>53</v>
      </c>
      <c r="E14" s="8" t="s">
        <v>34</v>
      </c>
      <c r="F14" s="9">
        <v>5.0</v>
      </c>
      <c r="G14" s="10" t="s">
        <v>54</v>
      </c>
      <c r="H14" s="8" t="s">
        <v>27</v>
      </c>
      <c r="I14" s="8" t="s">
        <v>55</v>
      </c>
      <c r="J14" s="8" t="s">
        <v>29</v>
      </c>
      <c r="K14" s="8" t="s">
        <v>30</v>
      </c>
      <c r="L14" s="10" t="s">
        <v>46</v>
      </c>
      <c r="M14" s="10"/>
    </row>
    <row r="15" ht="36.0" customHeight="1">
      <c r="A15" s="7" t="s">
        <v>56</v>
      </c>
      <c r="B15" s="7" t="s">
        <v>57</v>
      </c>
      <c r="C15" s="7" t="s">
        <v>58</v>
      </c>
      <c r="D15" s="7" t="s">
        <v>59</v>
      </c>
      <c r="E15" s="8" t="s">
        <v>34</v>
      </c>
      <c r="F15" s="9">
        <v>5.0</v>
      </c>
      <c r="G15" s="7" t="s">
        <v>60</v>
      </c>
      <c r="H15" s="8" t="s">
        <v>27</v>
      </c>
      <c r="I15" s="8" t="s">
        <v>61</v>
      </c>
      <c r="J15" s="8" t="s">
        <v>29</v>
      </c>
      <c r="K15" s="8" t="s">
        <v>30</v>
      </c>
      <c r="L15" s="7" t="s">
        <v>46</v>
      </c>
      <c r="M15" s="7"/>
    </row>
    <row r="16" ht="36.0" customHeight="1">
      <c r="A16" s="10" t="s">
        <v>62</v>
      </c>
      <c r="B16" s="10" t="s">
        <v>63</v>
      </c>
      <c r="C16" s="10" t="s">
        <v>58</v>
      </c>
      <c r="D16" s="10" t="s">
        <v>64</v>
      </c>
      <c r="E16" s="8" t="s">
        <v>25</v>
      </c>
      <c r="F16" s="9">
        <v>5.0</v>
      </c>
      <c r="G16" s="10" t="s">
        <v>65</v>
      </c>
      <c r="H16" s="8" t="s">
        <v>27</v>
      </c>
      <c r="I16" s="8" t="s">
        <v>66</v>
      </c>
      <c r="J16" s="8" t="s">
        <v>29</v>
      </c>
      <c r="K16" s="8" t="s">
        <v>30</v>
      </c>
      <c r="L16" s="10" t="s">
        <v>46</v>
      </c>
      <c r="M16" s="10"/>
    </row>
    <row r="17" ht="36.0" customHeight="1">
      <c r="A17" s="7" t="s">
        <v>67</v>
      </c>
      <c r="B17" s="7" t="s">
        <v>63</v>
      </c>
      <c r="C17" s="7" t="s">
        <v>58</v>
      </c>
      <c r="D17" s="7" t="s">
        <v>68</v>
      </c>
      <c r="E17" s="8" t="s">
        <v>34</v>
      </c>
      <c r="F17" s="9">
        <v>3.0</v>
      </c>
      <c r="G17" s="7" t="s">
        <v>69</v>
      </c>
      <c r="H17" s="8" t="s">
        <v>27</v>
      </c>
      <c r="I17" s="8" t="s">
        <v>51</v>
      </c>
      <c r="J17" s="8" t="s">
        <v>29</v>
      </c>
      <c r="K17" s="8" t="s">
        <v>30</v>
      </c>
      <c r="L17" s="7" t="s">
        <v>62</v>
      </c>
      <c r="M17" s="7"/>
    </row>
    <row r="18" ht="36.0" customHeight="1">
      <c r="A18" s="10" t="s">
        <v>70</v>
      </c>
      <c r="B18" s="10" t="s">
        <v>63</v>
      </c>
      <c r="C18" s="10" t="s">
        <v>58</v>
      </c>
      <c r="D18" s="10" t="s">
        <v>71</v>
      </c>
      <c r="E18" s="8" t="s">
        <v>25</v>
      </c>
      <c r="F18" s="9">
        <v>5.0</v>
      </c>
      <c r="G18" s="10" t="s">
        <v>72</v>
      </c>
      <c r="H18" s="8" t="s">
        <v>27</v>
      </c>
      <c r="I18" s="8" t="s">
        <v>55</v>
      </c>
      <c r="J18" s="8" t="s">
        <v>29</v>
      </c>
      <c r="K18" s="8" t="s">
        <v>30</v>
      </c>
      <c r="L18" s="10" t="s">
        <v>62</v>
      </c>
      <c r="M18" s="10"/>
    </row>
    <row r="19" ht="36.0" customHeight="1">
      <c r="A19" s="7" t="s">
        <v>73</v>
      </c>
      <c r="B19" s="7" t="s">
        <v>63</v>
      </c>
      <c r="C19" s="7" t="s">
        <v>58</v>
      </c>
      <c r="D19" s="7" t="s">
        <v>74</v>
      </c>
      <c r="E19" s="8" t="s">
        <v>75</v>
      </c>
      <c r="F19" s="9">
        <v>3.0</v>
      </c>
      <c r="G19" s="7" t="s">
        <v>76</v>
      </c>
      <c r="H19" s="8" t="s">
        <v>27</v>
      </c>
      <c r="I19" s="8" t="s">
        <v>77</v>
      </c>
      <c r="J19" s="8" t="s">
        <v>29</v>
      </c>
      <c r="K19" s="8" t="s">
        <v>30</v>
      </c>
      <c r="L19" s="7" t="s">
        <v>62</v>
      </c>
      <c r="M19" s="7"/>
    </row>
    <row r="20" ht="36.0" customHeight="1">
      <c r="A20" s="10" t="s">
        <v>78</v>
      </c>
      <c r="B20" s="10" t="s">
        <v>79</v>
      </c>
      <c r="C20" s="10" t="s">
        <v>58</v>
      </c>
      <c r="D20" s="10" t="s">
        <v>80</v>
      </c>
      <c r="E20" s="8" t="s">
        <v>25</v>
      </c>
      <c r="F20" s="9">
        <v>8.0</v>
      </c>
      <c r="G20" s="10" t="s">
        <v>81</v>
      </c>
      <c r="H20" s="8" t="s">
        <v>82</v>
      </c>
      <c r="I20" s="8" t="s">
        <v>55</v>
      </c>
      <c r="J20" s="8" t="s">
        <v>83</v>
      </c>
      <c r="K20" s="8" t="s">
        <v>84</v>
      </c>
      <c r="L20" s="10" t="s">
        <v>85</v>
      </c>
      <c r="M20" s="10" t="s">
        <v>86</v>
      </c>
    </row>
    <row r="21" ht="36.0" customHeight="1">
      <c r="A21" s="7" t="s">
        <v>87</v>
      </c>
      <c r="B21" s="7" t="s">
        <v>88</v>
      </c>
      <c r="C21" s="7" t="s">
        <v>58</v>
      </c>
      <c r="D21" s="7" t="s">
        <v>89</v>
      </c>
      <c r="E21" s="8" t="s">
        <v>25</v>
      </c>
      <c r="F21" s="9">
        <v>8.0</v>
      </c>
      <c r="G21" s="7" t="s">
        <v>90</v>
      </c>
      <c r="H21" s="8" t="s">
        <v>27</v>
      </c>
      <c r="I21" s="8" t="s">
        <v>66</v>
      </c>
      <c r="J21" s="8" t="s">
        <v>29</v>
      </c>
      <c r="K21" s="8" t="s">
        <v>30</v>
      </c>
      <c r="L21" s="7" t="s">
        <v>56</v>
      </c>
      <c r="M21" s="7"/>
    </row>
    <row r="22" ht="36.0" customHeight="1">
      <c r="A22" s="10" t="s">
        <v>91</v>
      </c>
      <c r="B22" s="10" t="s">
        <v>88</v>
      </c>
      <c r="C22" s="10" t="s">
        <v>58</v>
      </c>
      <c r="D22" s="10" t="s">
        <v>92</v>
      </c>
      <c r="E22" s="8" t="s">
        <v>25</v>
      </c>
      <c r="F22" s="9">
        <v>5.0</v>
      </c>
      <c r="G22" s="10" t="s">
        <v>93</v>
      </c>
      <c r="H22" s="8" t="s">
        <v>27</v>
      </c>
      <c r="I22" s="8" t="s">
        <v>77</v>
      </c>
      <c r="J22" s="8" t="s">
        <v>29</v>
      </c>
      <c r="K22" s="8" t="s">
        <v>30</v>
      </c>
      <c r="L22" s="10" t="s">
        <v>87</v>
      </c>
      <c r="M22" s="10"/>
    </row>
    <row r="23" ht="36.0" customHeight="1">
      <c r="A23" s="7" t="s">
        <v>94</v>
      </c>
      <c r="B23" s="7" t="s">
        <v>88</v>
      </c>
      <c r="C23" s="7" t="s">
        <v>58</v>
      </c>
      <c r="D23" s="7" t="s">
        <v>95</v>
      </c>
      <c r="E23" s="8" t="s">
        <v>25</v>
      </c>
      <c r="F23" s="9">
        <v>8.0</v>
      </c>
      <c r="G23" s="7" t="s">
        <v>96</v>
      </c>
      <c r="H23" s="8" t="s">
        <v>27</v>
      </c>
      <c r="I23" s="8" t="s">
        <v>66</v>
      </c>
      <c r="J23" s="8" t="s">
        <v>29</v>
      </c>
      <c r="K23" s="8" t="s">
        <v>30</v>
      </c>
      <c r="L23" s="7" t="s">
        <v>70</v>
      </c>
      <c r="M23" s="7"/>
    </row>
    <row r="24" ht="36.0" customHeight="1">
      <c r="A24" s="10" t="s">
        <v>97</v>
      </c>
      <c r="B24" s="10" t="s">
        <v>88</v>
      </c>
      <c r="C24" s="10" t="s">
        <v>58</v>
      </c>
      <c r="D24" s="10" t="s">
        <v>98</v>
      </c>
      <c r="E24" s="8" t="s">
        <v>34</v>
      </c>
      <c r="F24" s="9">
        <v>5.0</v>
      </c>
      <c r="G24" s="10" t="s">
        <v>99</v>
      </c>
      <c r="H24" s="8" t="s">
        <v>27</v>
      </c>
      <c r="I24" s="8" t="s">
        <v>51</v>
      </c>
      <c r="J24" s="8" t="s">
        <v>29</v>
      </c>
      <c r="K24" s="8" t="s">
        <v>30</v>
      </c>
      <c r="L24" s="10" t="s">
        <v>94</v>
      </c>
      <c r="M24" s="10"/>
    </row>
    <row r="25" ht="36.0" customHeight="1">
      <c r="A25" s="7" t="s">
        <v>100</v>
      </c>
      <c r="B25" s="7" t="s">
        <v>101</v>
      </c>
      <c r="C25" s="7" t="s">
        <v>58</v>
      </c>
      <c r="D25" s="7" t="s">
        <v>102</v>
      </c>
      <c r="E25" s="8" t="s">
        <v>25</v>
      </c>
      <c r="F25" s="9">
        <v>8.0</v>
      </c>
      <c r="G25" s="7" t="s">
        <v>103</v>
      </c>
      <c r="H25" s="8" t="s">
        <v>82</v>
      </c>
      <c r="I25" s="8" t="s">
        <v>55</v>
      </c>
      <c r="J25" s="8" t="s">
        <v>29</v>
      </c>
      <c r="K25" s="8" t="s">
        <v>30</v>
      </c>
      <c r="L25" s="7" t="s">
        <v>94</v>
      </c>
      <c r="M25" s="7"/>
    </row>
    <row r="26" ht="36.0" customHeight="1">
      <c r="A26" s="10" t="s">
        <v>104</v>
      </c>
      <c r="B26" s="10" t="s">
        <v>105</v>
      </c>
      <c r="C26" s="10" t="s">
        <v>58</v>
      </c>
      <c r="D26" s="10" t="s">
        <v>106</v>
      </c>
      <c r="E26" s="8" t="s">
        <v>34</v>
      </c>
      <c r="F26" s="9">
        <v>5.0</v>
      </c>
      <c r="G26" s="10" t="s">
        <v>107</v>
      </c>
      <c r="H26" s="8" t="s">
        <v>82</v>
      </c>
      <c r="I26" s="8" t="s">
        <v>51</v>
      </c>
      <c r="J26" s="8" t="s">
        <v>29</v>
      </c>
      <c r="K26" s="8" t="s">
        <v>30</v>
      </c>
      <c r="L26" s="10" t="s">
        <v>94</v>
      </c>
      <c r="M26" s="10"/>
    </row>
    <row r="27" ht="36.0" customHeight="1">
      <c r="A27" s="7" t="s">
        <v>108</v>
      </c>
      <c r="B27" s="7" t="s">
        <v>105</v>
      </c>
      <c r="C27" s="7" t="s">
        <v>58</v>
      </c>
      <c r="D27" s="7" t="s">
        <v>109</v>
      </c>
      <c r="E27" s="8" t="s">
        <v>34</v>
      </c>
      <c r="F27" s="9">
        <v>5.0</v>
      </c>
      <c r="G27" s="7" t="s">
        <v>110</v>
      </c>
      <c r="H27" s="8" t="s">
        <v>82</v>
      </c>
      <c r="I27" s="8" t="s">
        <v>66</v>
      </c>
      <c r="J27" s="8" t="s">
        <v>29</v>
      </c>
      <c r="K27" s="8" t="s">
        <v>30</v>
      </c>
      <c r="L27" s="7" t="s">
        <v>111</v>
      </c>
      <c r="M27" s="7"/>
    </row>
    <row r="28" ht="36.0" customHeight="1">
      <c r="A28" s="10" t="s">
        <v>112</v>
      </c>
      <c r="B28" s="10" t="s">
        <v>113</v>
      </c>
      <c r="C28" s="10" t="s">
        <v>58</v>
      </c>
      <c r="D28" s="10" t="s">
        <v>114</v>
      </c>
      <c r="E28" s="8" t="s">
        <v>25</v>
      </c>
      <c r="F28" s="9">
        <v>5.0</v>
      </c>
      <c r="G28" s="10" t="s">
        <v>115</v>
      </c>
      <c r="H28" s="8" t="s">
        <v>27</v>
      </c>
      <c r="I28" s="8" t="s">
        <v>66</v>
      </c>
      <c r="J28" s="8" t="s">
        <v>29</v>
      </c>
      <c r="K28" s="8" t="s">
        <v>30</v>
      </c>
      <c r="L28" s="10" t="s">
        <v>116</v>
      </c>
      <c r="M28" s="10"/>
    </row>
    <row r="29" ht="36.0" customHeight="1">
      <c r="A29" s="7" t="s">
        <v>117</v>
      </c>
      <c r="B29" s="7" t="s">
        <v>113</v>
      </c>
      <c r="C29" s="7" t="s">
        <v>58</v>
      </c>
      <c r="D29" s="7" t="s">
        <v>118</v>
      </c>
      <c r="E29" s="8" t="s">
        <v>25</v>
      </c>
      <c r="F29" s="9">
        <v>5.0</v>
      </c>
      <c r="G29" s="7" t="s">
        <v>119</v>
      </c>
      <c r="H29" s="8" t="s">
        <v>27</v>
      </c>
      <c r="I29" s="8" t="s">
        <v>66</v>
      </c>
      <c r="J29" s="8" t="s">
        <v>29</v>
      </c>
      <c r="K29" s="8" t="s">
        <v>30</v>
      </c>
      <c r="L29" s="7" t="s">
        <v>112</v>
      </c>
      <c r="M29" s="7"/>
    </row>
    <row r="30" ht="36.0" customHeight="1">
      <c r="A30" s="10" t="s">
        <v>120</v>
      </c>
      <c r="B30" s="10" t="s">
        <v>113</v>
      </c>
      <c r="C30" s="10" t="s">
        <v>58</v>
      </c>
      <c r="D30" s="10" t="s">
        <v>121</v>
      </c>
      <c r="E30" s="8" t="s">
        <v>25</v>
      </c>
      <c r="F30" s="9">
        <v>5.0</v>
      </c>
      <c r="G30" s="10" t="s">
        <v>122</v>
      </c>
      <c r="H30" s="8" t="s">
        <v>27</v>
      </c>
      <c r="I30" s="8" t="s">
        <v>55</v>
      </c>
      <c r="J30" s="8" t="s">
        <v>29</v>
      </c>
      <c r="K30" s="8" t="s">
        <v>30</v>
      </c>
      <c r="L30" s="10" t="s">
        <v>123</v>
      </c>
      <c r="M30" s="10" t="s">
        <v>124</v>
      </c>
    </row>
    <row r="31" ht="36.0" customHeight="1">
      <c r="A31" s="7" t="s">
        <v>125</v>
      </c>
      <c r="B31" s="7" t="s">
        <v>126</v>
      </c>
      <c r="C31" s="7" t="s">
        <v>58</v>
      </c>
      <c r="D31" s="7" t="s">
        <v>127</v>
      </c>
      <c r="E31" s="8" t="s">
        <v>25</v>
      </c>
      <c r="F31" s="9">
        <v>8.0</v>
      </c>
      <c r="G31" s="7" t="s">
        <v>128</v>
      </c>
      <c r="H31" s="8" t="s">
        <v>27</v>
      </c>
      <c r="I31" s="8" t="s">
        <v>51</v>
      </c>
      <c r="J31" s="8" t="s">
        <v>29</v>
      </c>
      <c r="K31" s="8" t="s">
        <v>30</v>
      </c>
      <c r="L31" s="7" t="s">
        <v>129</v>
      </c>
      <c r="M31" s="7"/>
    </row>
    <row r="32" ht="36.0" customHeight="1">
      <c r="A32" s="10" t="s">
        <v>130</v>
      </c>
      <c r="B32" s="10" t="s">
        <v>131</v>
      </c>
      <c r="C32" s="10" t="s">
        <v>58</v>
      </c>
      <c r="D32" s="10" t="s">
        <v>132</v>
      </c>
      <c r="E32" s="8" t="s">
        <v>34</v>
      </c>
      <c r="F32" s="9">
        <v>5.0</v>
      </c>
      <c r="G32" s="10" t="s">
        <v>133</v>
      </c>
      <c r="H32" s="8" t="s">
        <v>82</v>
      </c>
      <c r="I32" s="8" t="s">
        <v>66</v>
      </c>
      <c r="J32" s="8" t="s">
        <v>29</v>
      </c>
      <c r="K32" s="8" t="s">
        <v>30</v>
      </c>
      <c r="L32" s="10" t="s">
        <v>125</v>
      </c>
      <c r="M32" s="10"/>
    </row>
    <row r="33" ht="36.0" customHeight="1">
      <c r="A33" s="7" t="s">
        <v>134</v>
      </c>
      <c r="B33" s="7" t="s">
        <v>126</v>
      </c>
      <c r="C33" s="7" t="s">
        <v>58</v>
      </c>
      <c r="D33" s="7" t="s">
        <v>135</v>
      </c>
      <c r="E33" s="8" t="s">
        <v>34</v>
      </c>
      <c r="F33" s="9">
        <v>5.0</v>
      </c>
      <c r="G33" s="7" t="s">
        <v>136</v>
      </c>
      <c r="H33" s="8" t="s">
        <v>27</v>
      </c>
      <c r="I33" s="8" t="s">
        <v>77</v>
      </c>
      <c r="J33" s="8" t="s">
        <v>29</v>
      </c>
      <c r="K33" s="8" t="s">
        <v>30</v>
      </c>
      <c r="L33" s="7" t="s">
        <v>125</v>
      </c>
      <c r="M33" s="7"/>
    </row>
    <row r="34" ht="36.0" customHeight="1">
      <c r="A34" s="10" t="s">
        <v>137</v>
      </c>
      <c r="B34" s="10" t="s">
        <v>126</v>
      </c>
      <c r="C34" s="10" t="s">
        <v>58</v>
      </c>
      <c r="D34" s="10" t="s">
        <v>138</v>
      </c>
      <c r="E34" s="8" t="s">
        <v>34</v>
      </c>
      <c r="F34" s="9">
        <v>5.0</v>
      </c>
      <c r="G34" s="10" t="s">
        <v>139</v>
      </c>
      <c r="H34" s="8" t="s">
        <v>82</v>
      </c>
      <c r="I34" s="8" t="s">
        <v>55</v>
      </c>
      <c r="J34" s="8" t="s">
        <v>29</v>
      </c>
      <c r="K34" s="8" t="s">
        <v>30</v>
      </c>
      <c r="L34" s="10" t="s">
        <v>140</v>
      </c>
      <c r="M34" s="10"/>
    </row>
    <row r="35" ht="36.0" customHeight="1">
      <c r="A35" s="7" t="s">
        <v>141</v>
      </c>
      <c r="B35" s="7" t="s">
        <v>142</v>
      </c>
      <c r="C35" s="7" t="s">
        <v>58</v>
      </c>
      <c r="D35" s="7" t="s">
        <v>143</v>
      </c>
      <c r="E35" s="8" t="s">
        <v>25</v>
      </c>
      <c r="F35" s="9">
        <v>8.0</v>
      </c>
      <c r="G35" s="7" t="s">
        <v>144</v>
      </c>
      <c r="H35" s="8" t="s">
        <v>27</v>
      </c>
      <c r="I35" s="8" t="s">
        <v>51</v>
      </c>
      <c r="J35" s="8" t="s">
        <v>29</v>
      </c>
      <c r="K35" s="8" t="s">
        <v>30</v>
      </c>
      <c r="L35" s="7" t="s">
        <v>125</v>
      </c>
      <c r="M35" s="7"/>
    </row>
    <row r="36" ht="36.0" customHeight="1">
      <c r="A36" s="10" t="s">
        <v>145</v>
      </c>
      <c r="B36" s="10" t="s">
        <v>142</v>
      </c>
      <c r="C36" s="10" t="s">
        <v>58</v>
      </c>
      <c r="D36" s="10" t="s">
        <v>146</v>
      </c>
      <c r="E36" s="8" t="s">
        <v>25</v>
      </c>
      <c r="F36" s="9">
        <v>8.0</v>
      </c>
      <c r="G36" s="10" t="s">
        <v>147</v>
      </c>
      <c r="H36" s="8" t="s">
        <v>27</v>
      </c>
      <c r="I36" s="8" t="s">
        <v>66</v>
      </c>
      <c r="J36" s="8" t="s">
        <v>29</v>
      </c>
      <c r="K36" s="8" t="s">
        <v>30</v>
      </c>
      <c r="L36" s="10" t="s">
        <v>141</v>
      </c>
      <c r="M36" s="10"/>
    </row>
    <row r="37" ht="36.0" customHeight="1">
      <c r="A37" s="7" t="s">
        <v>148</v>
      </c>
      <c r="B37" s="7" t="s">
        <v>142</v>
      </c>
      <c r="C37" s="7" t="s">
        <v>58</v>
      </c>
      <c r="D37" s="7" t="s">
        <v>149</v>
      </c>
      <c r="E37" s="8" t="s">
        <v>25</v>
      </c>
      <c r="F37" s="9">
        <v>5.0</v>
      </c>
      <c r="G37" s="7" t="s">
        <v>150</v>
      </c>
      <c r="H37" s="8" t="s">
        <v>27</v>
      </c>
      <c r="I37" s="8" t="s">
        <v>55</v>
      </c>
      <c r="J37" s="8" t="s">
        <v>29</v>
      </c>
      <c r="K37" s="8" t="s">
        <v>30</v>
      </c>
      <c r="L37" s="7" t="s">
        <v>141</v>
      </c>
      <c r="M37" s="7"/>
    </row>
    <row r="38" ht="36.0" customHeight="1">
      <c r="A38" s="10" t="s">
        <v>151</v>
      </c>
      <c r="B38" s="10" t="s">
        <v>57</v>
      </c>
      <c r="C38" s="10" t="s">
        <v>58</v>
      </c>
      <c r="D38" s="10" t="s">
        <v>152</v>
      </c>
      <c r="E38" s="8" t="s">
        <v>34</v>
      </c>
      <c r="F38" s="9">
        <v>5.0</v>
      </c>
      <c r="G38" s="10" t="s">
        <v>153</v>
      </c>
      <c r="H38" s="8" t="s">
        <v>27</v>
      </c>
      <c r="I38" s="8" t="s">
        <v>154</v>
      </c>
      <c r="J38" s="8" t="s">
        <v>29</v>
      </c>
      <c r="K38" s="8" t="s">
        <v>30</v>
      </c>
      <c r="L38" s="10" t="s">
        <v>56</v>
      </c>
      <c r="M38" s="10"/>
    </row>
    <row r="39" ht="36.0" customHeight="1">
      <c r="A39" s="10" t="s">
        <v>155</v>
      </c>
      <c r="B39" s="10" t="s">
        <v>156</v>
      </c>
      <c r="C39" s="10" t="s">
        <v>58</v>
      </c>
      <c r="D39" s="10" t="s">
        <v>157</v>
      </c>
      <c r="E39" s="8" t="s">
        <v>75</v>
      </c>
      <c r="F39" s="9">
        <v>5.0</v>
      </c>
      <c r="G39" s="10" t="s">
        <v>158</v>
      </c>
      <c r="H39" s="8" t="s">
        <v>27</v>
      </c>
      <c r="I39" s="8" t="s">
        <v>154</v>
      </c>
      <c r="J39" s="8" t="s">
        <v>29</v>
      </c>
      <c r="K39" s="8" t="s">
        <v>30</v>
      </c>
      <c r="L39" s="10" t="s">
        <v>159</v>
      </c>
      <c r="M39" s="10"/>
    </row>
    <row r="40" ht="36.0" customHeight="1">
      <c r="A40" s="7" t="s">
        <v>160</v>
      </c>
      <c r="B40" s="7" t="s">
        <v>161</v>
      </c>
      <c r="C40" s="7" t="s">
        <v>58</v>
      </c>
      <c r="D40" s="7" t="s">
        <v>162</v>
      </c>
      <c r="E40" s="8" t="s">
        <v>25</v>
      </c>
      <c r="F40" s="9">
        <v>8.0</v>
      </c>
      <c r="G40" s="7" t="s">
        <v>163</v>
      </c>
      <c r="H40" s="8" t="s">
        <v>82</v>
      </c>
      <c r="I40" s="8" t="s">
        <v>66</v>
      </c>
      <c r="J40" s="8" t="s">
        <v>29</v>
      </c>
      <c r="K40" s="8" t="s">
        <v>30</v>
      </c>
      <c r="L40" s="7" t="s">
        <v>87</v>
      </c>
      <c r="M40" s="7"/>
    </row>
    <row r="41" ht="36.0" customHeight="1">
      <c r="A41" s="10" t="s">
        <v>164</v>
      </c>
      <c r="B41" s="10" t="s">
        <v>161</v>
      </c>
      <c r="C41" s="10" t="s">
        <v>58</v>
      </c>
      <c r="D41" s="10" t="s">
        <v>165</v>
      </c>
      <c r="E41" s="8" t="s">
        <v>25</v>
      </c>
      <c r="F41" s="9">
        <v>8.0</v>
      </c>
      <c r="G41" s="10" t="s">
        <v>166</v>
      </c>
      <c r="H41" s="8" t="s">
        <v>82</v>
      </c>
      <c r="I41" s="8" t="s">
        <v>167</v>
      </c>
      <c r="J41" s="8" t="s">
        <v>29</v>
      </c>
      <c r="K41" s="8" t="s">
        <v>30</v>
      </c>
      <c r="L41" s="10" t="s">
        <v>168</v>
      </c>
      <c r="M41" s="10"/>
    </row>
    <row r="42" ht="36.0" customHeight="1">
      <c r="A42" s="7" t="s">
        <v>169</v>
      </c>
      <c r="B42" s="7" t="s">
        <v>161</v>
      </c>
      <c r="C42" s="7" t="s">
        <v>58</v>
      </c>
      <c r="D42" s="11" t="s">
        <v>170</v>
      </c>
      <c r="E42" s="8" t="s">
        <v>34</v>
      </c>
      <c r="F42" s="9">
        <v>8.0</v>
      </c>
      <c r="G42" s="7" t="s">
        <v>171</v>
      </c>
      <c r="H42" s="8" t="s">
        <v>82</v>
      </c>
      <c r="I42" s="8" t="s">
        <v>51</v>
      </c>
      <c r="J42" s="8" t="s">
        <v>29</v>
      </c>
      <c r="K42" s="8" t="s">
        <v>30</v>
      </c>
      <c r="L42" s="7" t="s">
        <v>160</v>
      </c>
      <c r="M42" s="7"/>
    </row>
    <row r="43" ht="36.0" customHeight="1">
      <c r="A43" s="10" t="s">
        <v>172</v>
      </c>
      <c r="B43" s="10" t="s">
        <v>161</v>
      </c>
      <c r="C43" s="10" t="s">
        <v>58</v>
      </c>
      <c r="D43" s="10" t="s">
        <v>173</v>
      </c>
      <c r="E43" s="8" t="s">
        <v>25</v>
      </c>
      <c r="F43" s="9">
        <v>5.0</v>
      </c>
      <c r="G43" s="10" t="s">
        <v>174</v>
      </c>
      <c r="H43" s="8" t="s">
        <v>82</v>
      </c>
      <c r="I43" s="8" t="s">
        <v>55</v>
      </c>
      <c r="J43" s="8" t="s">
        <v>29</v>
      </c>
      <c r="K43" s="8" t="s">
        <v>30</v>
      </c>
      <c r="L43" s="10" t="s">
        <v>160</v>
      </c>
      <c r="M43" s="10"/>
    </row>
    <row r="44" ht="36.0" customHeight="1">
      <c r="A44" s="7" t="s">
        <v>175</v>
      </c>
      <c r="B44" s="7" t="s">
        <v>176</v>
      </c>
      <c r="C44" s="7" t="s">
        <v>58</v>
      </c>
      <c r="D44" s="7" t="s">
        <v>177</v>
      </c>
      <c r="E44" s="8" t="s">
        <v>34</v>
      </c>
      <c r="F44" s="9">
        <v>8.0</v>
      </c>
      <c r="G44" s="7" t="s">
        <v>178</v>
      </c>
      <c r="H44" s="8" t="s">
        <v>82</v>
      </c>
      <c r="I44" s="8" t="s">
        <v>167</v>
      </c>
      <c r="J44" s="8" t="s">
        <v>29</v>
      </c>
      <c r="K44" s="8" t="s">
        <v>30</v>
      </c>
      <c r="L44" s="7" t="s">
        <v>169</v>
      </c>
      <c r="M44" s="7"/>
    </row>
    <row r="45" ht="36.0" customHeight="1">
      <c r="A45" s="10" t="s">
        <v>179</v>
      </c>
      <c r="B45" s="10" t="s">
        <v>176</v>
      </c>
      <c r="C45" s="10" t="s">
        <v>58</v>
      </c>
      <c r="D45" s="10" t="s">
        <v>180</v>
      </c>
      <c r="E45" s="8" t="s">
        <v>34</v>
      </c>
      <c r="F45" s="9">
        <v>8.0</v>
      </c>
      <c r="G45" s="10" t="s">
        <v>181</v>
      </c>
      <c r="H45" s="8" t="s">
        <v>82</v>
      </c>
      <c r="I45" s="8" t="s">
        <v>66</v>
      </c>
      <c r="J45" s="8" t="s">
        <v>29</v>
      </c>
      <c r="K45" s="8" t="s">
        <v>30</v>
      </c>
      <c r="L45" s="10" t="s">
        <v>160</v>
      </c>
      <c r="M45" s="10"/>
    </row>
    <row r="46" ht="36.0" customHeight="1">
      <c r="A46" s="7" t="s">
        <v>182</v>
      </c>
      <c r="B46" s="7" t="s">
        <v>176</v>
      </c>
      <c r="C46" s="7" t="s">
        <v>58</v>
      </c>
      <c r="D46" s="7" t="s">
        <v>183</v>
      </c>
      <c r="E46" s="8" t="s">
        <v>75</v>
      </c>
      <c r="F46" s="9">
        <v>5.0</v>
      </c>
      <c r="G46" s="7" t="s">
        <v>184</v>
      </c>
      <c r="H46" s="8" t="s">
        <v>82</v>
      </c>
      <c r="I46" s="8" t="s">
        <v>61</v>
      </c>
      <c r="J46" s="8" t="s">
        <v>29</v>
      </c>
      <c r="K46" s="8" t="s">
        <v>30</v>
      </c>
      <c r="L46" s="7" t="s">
        <v>185</v>
      </c>
      <c r="M46" s="7"/>
    </row>
    <row r="47" ht="36.0" customHeight="1">
      <c r="A47" s="10" t="s">
        <v>186</v>
      </c>
      <c r="B47" s="10" t="s">
        <v>176</v>
      </c>
      <c r="C47" s="10" t="s">
        <v>58</v>
      </c>
      <c r="D47" s="10" t="s">
        <v>187</v>
      </c>
      <c r="E47" s="8" t="s">
        <v>34</v>
      </c>
      <c r="F47" s="9">
        <v>5.0</v>
      </c>
      <c r="G47" s="10" t="s">
        <v>188</v>
      </c>
      <c r="H47" s="8" t="s">
        <v>82</v>
      </c>
      <c r="I47" s="8" t="s">
        <v>66</v>
      </c>
      <c r="J47" s="8" t="s">
        <v>29</v>
      </c>
      <c r="K47" s="8" t="s">
        <v>30</v>
      </c>
      <c r="L47" s="10" t="s">
        <v>189</v>
      </c>
      <c r="M47" s="10"/>
    </row>
    <row r="48" ht="36.0" customHeight="1">
      <c r="A48" s="7" t="s">
        <v>190</v>
      </c>
      <c r="B48" s="7" t="s">
        <v>191</v>
      </c>
      <c r="C48" s="7" t="s">
        <v>58</v>
      </c>
      <c r="D48" s="7" t="s">
        <v>192</v>
      </c>
      <c r="E48" s="8" t="s">
        <v>25</v>
      </c>
      <c r="F48" s="9">
        <v>8.0</v>
      </c>
      <c r="G48" s="7" t="s">
        <v>193</v>
      </c>
      <c r="H48" s="8" t="s">
        <v>82</v>
      </c>
      <c r="I48" s="8" t="s">
        <v>66</v>
      </c>
      <c r="J48" s="8" t="s">
        <v>29</v>
      </c>
      <c r="K48" s="8" t="s">
        <v>30</v>
      </c>
      <c r="L48" s="7" t="s">
        <v>194</v>
      </c>
      <c r="M48" s="7"/>
    </row>
    <row r="49" ht="36.0" customHeight="1">
      <c r="A49" s="10" t="s">
        <v>195</v>
      </c>
      <c r="B49" s="10" t="s">
        <v>191</v>
      </c>
      <c r="C49" s="10" t="s">
        <v>58</v>
      </c>
      <c r="D49" s="10" t="s">
        <v>196</v>
      </c>
      <c r="E49" s="8" t="s">
        <v>34</v>
      </c>
      <c r="F49" s="9">
        <v>5.0</v>
      </c>
      <c r="G49" s="10" t="s">
        <v>197</v>
      </c>
      <c r="H49" s="8" t="s">
        <v>82</v>
      </c>
      <c r="I49" s="8" t="s">
        <v>66</v>
      </c>
      <c r="J49" s="8" t="s">
        <v>29</v>
      </c>
      <c r="K49" s="8" t="s">
        <v>30</v>
      </c>
      <c r="L49" s="10" t="s">
        <v>190</v>
      </c>
      <c r="M49" s="10"/>
    </row>
    <row r="50" ht="36.0" customHeight="1">
      <c r="A50" s="7" t="s">
        <v>198</v>
      </c>
      <c r="B50" s="7" t="s">
        <v>191</v>
      </c>
      <c r="C50" s="7" t="s">
        <v>58</v>
      </c>
      <c r="D50" s="7" t="s">
        <v>199</v>
      </c>
      <c r="E50" s="8" t="s">
        <v>75</v>
      </c>
      <c r="F50" s="9">
        <v>5.0</v>
      </c>
      <c r="G50" s="7" t="s">
        <v>200</v>
      </c>
      <c r="H50" s="8" t="s">
        <v>82</v>
      </c>
      <c r="I50" s="8" t="s">
        <v>77</v>
      </c>
      <c r="J50" s="8" t="s">
        <v>29</v>
      </c>
      <c r="K50" s="8" t="s">
        <v>30</v>
      </c>
      <c r="L50" s="7" t="s">
        <v>190</v>
      </c>
      <c r="M50" s="7"/>
    </row>
    <row r="51" ht="36.0" customHeight="1">
      <c r="A51" s="10" t="s">
        <v>201</v>
      </c>
      <c r="B51" s="10" t="s">
        <v>191</v>
      </c>
      <c r="C51" s="10" t="s">
        <v>58</v>
      </c>
      <c r="D51" s="10" t="s">
        <v>202</v>
      </c>
      <c r="E51" s="8" t="s">
        <v>25</v>
      </c>
      <c r="F51" s="9">
        <v>8.0</v>
      </c>
      <c r="G51" s="10" t="s">
        <v>203</v>
      </c>
      <c r="H51" s="8" t="s">
        <v>82</v>
      </c>
      <c r="I51" s="8" t="s">
        <v>55</v>
      </c>
      <c r="J51" s="8" t="s">
        <v>29</v>
      </c>
      <c r="K51" s="8" t="s">
        <v>30</v>
      </c>
      <c r="L51" s="10" t="s">
        <v>204</v>
      </c>
      <c r="M51" s="10"/>
    </row>
    <row r="52" ht="36.0" customHeight="1">
      <c r="A52" s="7" t="s">
        <v>205</v>
      </c>
      <c r="B52" s="7" t="s">
        <v>206</v>
      </c>
      <c r="C52" s="7" t="s">
        <v>58</v>
      </c>
      <c r="D52" s="7" t="s">
        <v>207</v>
      </c>
      <c r="E52" s="8" t="s">
        <v>34</v>
      </c>
      <c r="F52" s="9">
        <v>8.0</v>
      </c>
      <c r="G52" s="7" t="s">
        <v>208</v>
      </c>
      <c r="H52" s="8" t="s">
        <v>82</v>
      </c>
      <c r="I52" s="8" t="s">
        <v>51</v>
      </c>
      <c r="J52" s="8" t="s">
        <v>209</v>
      </c>
      <c r="K52" s="8" t="s">
        <v>210</v>
      </c>
      <c r="L52" s="7" t="s">
        <v>190</v>
      </c>
      <c r="M52" s="7"/>
    </row>
    <row r="53" ht="36.0" customHeight="1">
      <c r="A53" s="10" t="s">
        <v>211</v>
      </c>
      <c r="B53" s="10" t="s">
        <v>206</v>
      </c>
      <c r="C53" s="10" t="s">
        <v>58</v>
      </c>
      <c r="D53" s="10" t="s">
        <v>212</v>
      </c>
      <c r="E53" s="8" t="s">
        <v>34</v>
      </c>
      <c r="F53" s="9">
        <v>8.0</v>
      </c>
      <c r="G53" s="10" t="s">
        <v>213</v>
      </c>
      <c r="H53" s="8" t="s">
        <v>82</v>
      </c>
      <c r="I53" s="8" t="s">
        <v>66</v>
      </c>
      <c r="J53" s="8" t="s">
        <v>209</v>
      </c>
      <c r="K53" s="8" t="s">
        <v>210</v>
      </c>
      <c r="L53" s="10" t="s">
        <v>201</v>
      </c>
      <c r="M53" s="10"/>
    </row>
    <row r="54" ht="36.0" customHeight="1">
      <c r="A54" s="7" t="s">
        <v>214</v>
      </c>
      <c r="B54" s="7" t="s">
        <v>215</v>
      </c>
      <c r="C54" s="7" t="s">
        <v>58</v>
      </c>
      <c r="D54" s="7" t="s">
        <v>216</v>
      </c>
      <c r="E54" s="8" t="s">
        <v>25</v>
      </c>
      <c r="F54" s="9">
        <v>5.0</v>
      </c>
      <c r="G54" s="7" t="s">
        <v>217</v>
      </c>
      <c r="H54" s="8" t="s">
        <v>82</v>
      </c>
      <c r="I54" s="8" t="s">
        <v>218</v>
      </c>
      <c r="J54" s="8" t="s">
        <v>209</v>
      </c>
      <c r="K54" s="8" t="s">
        <v>210</v>
      </c>
      <c r="L54" s="7" t="s">
        <v>219</v>
      </c>
      <c r="M54" s="7"/>
    </row>
    <row r="55" ht="48.75" customHeight="1">
      <c r="A55" s="10" t="s">
        <v>220</v>
      </c>
      <c r="B55" s="10" t="s">
        <v>221</v>
      </c>
      <c r="C55" s="10" t="s">
        <v>48</v>
      </c>
      <c r="D55" s="10" t="s">
        <v>222</v>
      </c>
      <c r="E55" s="8" t="s">
        <v>25</v>
      </c>
      <c r="F55" s="9">
        <v>8.0</v>
      </c>
      <c r="G55" s="10" t="s">
        <v>223</v>
      </c>
      <c r="H55" s="8" t="s">
        <v>82</v>
      </c>
      <c r="I55" s="8" t="s">
        <v>224</v>
      </c>
      <c r="J55" s="8" t="s">
        <v>209</v>
      </c>
      <c r="K55" s="8" t="s">
        <v>210</v>
      </c>
      <c r="L55" s="10" t="s">
        <v>225</v>
      </c>
      <c r="M55" s="10"/>
    </row>
    <row r="56" ht="36.0" customHeight="1">
      <c r="A56" s="7" t="s">
        <v>226</v>
      </c>
      <c r="B56" s="7" t="s">
        <v>227</v>
      </c>
      <c r="C56" s="7" t="s">
        <v>58</v>
      </c>
      <c r="D56" s="7" t="s">
        <v>228</v>
      </c>
      <c r="E56" s="8" t="s">
        <v>25</v>
      </c>
      <c r="F56" s="9">
        <v>8.0</v>
      </c>
      <c r="G56" s="7" t="s">
        <v>229</v>
      </c>
      <c r="H56" s="8" t="s">
        <v>82</v>
      </c>
      <c r="I56" s="8" t="s">
        <v>66</v>
      </c>
      <c r="J56" s="8" t="s">
        <v>230</v>
      </c>
      <c r="K56" s="8" t="s">
        <v>231</v>
      </c>
      <c r="L56" s="7" t="s">
        <v>201</v>
      </c>
      <c r="M56" s="7" t="s">
        <v>232</v>
      </c>
    </row>
    <row r="57" ht="36.0" customHeight="1">
      <c r="A57" s="10" t="s">
        <v>233</v>
      </c>
      <c r="B57" s="10" t="s">
        <v>227</v>
      </c>
      <c r="C57" s="10" t="s">
        <v>58</v>
      </c>
      <c r="D57" s="10" t="s">
        <v>234</v>
      </c>
      <c r="E57" s="8" t="s">
        <v>34</v>
      </c>
      <c r="F57" s="9">
        <v>8.0</v>
      </c>
      <c r="G57" s="10" t="s">
        <v>235</v>
      </c>
      <c r="H57" s="8" t="s">
        <v>82</v>
      </c>
      <c r="I57" s="8" t="s">
        <v>66</v>
      </c>
      <c r="J57" s="8" t="s">
        <v>230</v>
      </c>
      <c r="K57" s="8" t="s">
        <v>231</v>
      </c>
      <c r="L57" s="10" t="s">
        <v>226</v>
      </c>
      <c r="M57" s="10" t="s">
        <v>232</v>
      </c>
    </row>
    <row r="58" ht="36.0" customHeight="1">
      <c r="A58" s="7" t="s">
        <v>236</v>
      </c>
      <c r="B58" s="7" t="s">
        <v>227</v>
      </c>
      <c r="C58" s="7" t="s">
        <v>58</v>
      </c>
      <c r="D58" s="7" t="s">
        <v>237</v>
      </c>
      <c r="E58" s="8" t="s">
        <v>34</v>
      </c>
      <c r="F58" s="9">
        <v>5.0</v>
      </c>
      <c r="G58" s="7" t="s">
        <v>238</v>
      </c>
      <c r="H58" s="8" t="s">
        <v>82</v>
      </c>
      <c r="I58" s="8" t="s">
        <v>66</v>
      </c>
      <c r="J58" s="8" t="s">
        <v>230</v>
      </c>
      <c r="K58" s="8" t="s">
        <v>231</v>
      </c>
      <c r="L58" s="7" t="s">
        <v>226</v>
      </c>
      <c r="M58" s="7" t="s">
        <v>232</v>
      </c>
    </row>
    <row r="59" ht="36.0" customHeight="1">
      <c r="A59" s="10" t="s">
        <v>239</v>
      </c>
      <c r="B59" s="10" t="s">
        <v>227</v>
      </c>
      <c r="C59" s="10" t="s">
        <v>58</v>
      </c>
      <c r="D59" s="10" t="s">
        <v>240</v>
      </c>
      <c r="E59" s="8" t="s">
        <v>34</v>
      </c>
      <c r="F59" s="9">
        <v>5.0</v>
      </c>
      <c r="G59" s="10" t="s">
        <v>241</v>
      </c>
      <c r="H59" s="8" t="s">
        <v>82</v>
      </c>
      <c r="I59" s="8" t="s">
        <v>55</v>
      </c>
      <c r="J59" s="8" t="s">
        <v>230</v>
      </c>
      <c r="K59" s="8" t="s">
        <v>231</v>
      </c>
      <c r="L59" s="10" t="s">
        <v>242</v>
      </c>
      <c r="M59" s="10" t="s">
        <v>232</v>
      </c>
    </row>
    <row r="60" ht="36.0" customHeight="1">
      <c r="A60" s="7" t="s">
        <v>243</v>
      </c>
      <c r="B60" s="7" t="s">
        <v>244</v>
      </c>
      <c r="C60" s="7" t="s">
        <v>48</v>
      </c>
      <c r="D60" s="7" t="s">
        <v>245</v>
      </c>
      <c r="E60" s="8" t="s">
        <v>34</v>
      </c>
      <c r="F60" s="9">
        <v>5.0</v>
      </c>
      <c r="G60" s="7" t="s">
        <v>246</v>
      </c>
      <c r="H60" s="8" t="s">
        <v>82</v>
      </c>
      <c r="I60" s="8" t="s">
        <v>154</v>
      </c>
      <c r="J60" s="8" t="s">
        <v>247</v>
      </c>
      <c r="K60" s="8" t="s">
        <v>231</v>
      </c>
      <c r="L60" s="7" t="s">
        <v>220</v>
      </c>
      <c r="M60" s="7"/>
    </row>
    <row r="61" ht="36.0" customHeight="1">
      <c r="A61" s="10" t="s">
        <v>248</v>
      </c>
      <c r="B61" s="10" t="s">
        <v>249</v>
      </c>
      <c r="C61" s="10" t="s">
        <v>48</v>
      </c>
      <c r="D61" s="10" t="s">
        <v>250</v>
      </c>
      <c r="E61" s="8" t="s">
        <v>25</v>
      </c>
      <c r="F61" s="9">
        <v>8.0</v>
      </c>
      <c r="G61" s="10" t="s">
        <v>251</v>
      </c>
      <c r="H61" s="8" t="s">
        <v>82</v>
      </c>
      <c r="I61" s="8" t="s">
        <v>55</v>
      </c>
      <c r="J61" s="8" t="s">
        <v>247</v>
      </c>
      <c r="K61" s="8" t="s">
        <v>231</v>
      </c>
      <c r="L61" s="10" t="s">
        <v>243</v>
      </c>
      <c r="M61" s="10"/>
    </row>
    <row r="62" ht="36.0" customHeight="1">
      <c r="A62" s="7" t="s">
        <v>252</v>
      </c>
      <c r="B62" s="7" t="s">
        <v>253</v>
      </c>
      <c r="C62" s="7" t="s">
        <v>48</v>
      </c>
      <c r="D62" s="7" t="s">
        <v>254</v>
      </c>
      <c r="E62" s="8" t="s">
        <v>25</v>
      </c>
      <c r="F62" s="9">
        <v>13.0</v>
      </c>
      <c r="G62" s="7" t="s">
        <v>255</v>
      </c>
      <c r="H62" s="8" t="s">
        <v>82</v>
      </c>
      <c r="I62" s="8" t="s">
        <v>55</v>
      </c>
      <c r="J62" s="8" t="s">
        <v>247</v>
      </c>
      <c r="K62" s="8" t="s">
        <v>231</v>
      </c>
      <c r="L62" s="7" t="s">
        <v>248</v>
      </c>
      <c r="M62" s="7"/>
    </row>
    <row r="63" ht="36.0" customHeight="1">
      <c r="A63" s="10" t="s">
        <v>256</v>
      </c>
      <c r="B63" s="10" t="s">
        <v>257</v>
      </c>
      <c r="C63" s="10" t="s">
        <v>48</v>
      </c>
      <c r="D63" s="10" t="s">
        <v>258</v>
      </c>
      <c r="E63" s="8" t="s">
        <v>25</v>
      </c>
      <c r="F63" s="9">
        <v>8.0</v>
      </c>
      <c r="G63" s="10" t="s">
        <v>259</v>
      </c>
      <c r="H63" s="8" t="s">
        <v>260</v>
      </c>
      <c r="I63" s="8" t="s">
        <v>218</v>
      </c>
      <c r="J63" s="8" t="s">
        <v>247</v>
      </c>
      <c r="K63" s="8" t="s">
        <v>231</v>
      </c>
      <c r="L63" s="10" t="s">
        <v>220</v>
      </c>
      <c r="M63" s="10"/>
    </row>
    <row r="64" ht="36.0" customHeight="1">
      <c r="A64" s="7" t="s">
        <v>261</v>
      </c>
      <c r="B64" s="7" t="s">
        <v>262</v>
      </c>
      <c r="C64" s="7" t="s">
        <v>48</v>
      </c>
      <c r="D64" s="7" t="s">
        <v>263</v>
      </c>
      <c r="E64" s="8" t="s">
        <v>34</v>
      </c>
      <c r="F64" s="9">
        <v>8.0</v>
      </c>
      <c r="G64" s="7" t="s">
        <v>264</v>
      </c>
      <c r="H64" s="8" t="s">
        <v>260</v>
      </c>
      <c r="I64" s="8" t="s">
        <v>51</v>
      </c>
      <c r="J64" s="8" t="s">
        <v>247</v>
      </c>
      <c r="K64" s="8" t="s">
        <v>231</v>
      </c>
      <c r="L64" s="7" t="s">
        <v>220</v>
      </c>
      <c r="M64" s="7"/>
    </row>
    <row r="65" ht="36.0" customHeight="1">
      <c r="A65" s="10" t="s">
        <v>265</v>
      </c>
      <c r="B65" s="10" t="s">
        <v>266</v>
      </c>
      <c r="C65" s="10" t="s">
        <v>267</v>
      </c>
      <c r="D65" s="10" t="s">
        <v>268</v>
      </c>
      <c r="E65" s="8" t="s">
        <v>25</v>
      </c>
      <c r="F65" s="9">
        <v>13.0</v>
      </c>
      <c r="G65" s="10" t="s">
        <v>269</v>
      </c>
      <c r="H65" s="8" t="s">
        <v>260</v>
      </c>
      <c r="I65" s="8" t="s">
        <v>45</v>
      </c>
      <c r="J65" s="8" t="s">
        <v>247</v>
      </c>
      <c r="K65" s="8" t="s">
        <v>231</v>
      </c>
      <c r="L65" s="10" t="s">
        <v>270</v>
      </c>
      <c r="M65" s="10"/>
    </row>
    <row r="66" ht="36.0" customHeight="1">
      <c r="A66" s="7" t="s">
        <v>271</v>
      </c>
      <c r="B66" s="7" t="s">
        <v>272</v>
      </c>
      <c r="C66" s="7" t="s">
        <v>58</v>
      </c>
      <c r="D66" s="7" t="s">
        <v>273</v>
      </c>
      <c r="E66" s="8" t="s">
        <v>25</v>
      </c>
      <c r="F66" s="9">
        <v>8.0</v>
      </c>
      <c r="G66" s="7" t="s">
        <v>274</v>
      </c>
      <c r="H66" s="8" t="s">
        <v>260</v>
      </c>
      <c r="I66" s="8" t="s">
        <v>36</v>
      </c>
      <c r="J66" s="8" t="s">
        <v>247</v>
      </c>
      <c r="K66" s="8" t="s">
        <v>231</v>
      </c>
      <c r="L66" s="7" t="s">
        <v>265</v>
      </c>
      <c r="M66" s="7"/>
    </row>
    <row r="67" ht="36.0" customHeight="1">
      <c r="A67" s="10" t="s">
        <v>275</v>
      </c>
      <c r="B67" s="10" t="s">
        <v>276</v>
      </c>
      <c r="C67" s="10" t="s">
        <v>277</v>
      </c>
      <c r="D67" s="10" t="s">
        <v>278</v>
      </c>
      <c r="E67" s="8" t="s">
        <v>34</v>
      </c>
      <c r="F67" s="9">
        <v>5.0</v>
      </c>
      <c r="G67" s="10" t="s">
        <v>279</v>
      </c>
      <c r="H67" s="8" t="s">
        <v>260</v>
      </c>
      <c r="I67" s="8" t="s">
        <v>36</v>
      </c>
      <c r="J67" s="8" t="s">
        <v>247</v>
      </c>
      <c r="K67" s="8" t="s">
        <v>231</v>
      </c>
      <c r="L67" s="10" t="s">
        <v>271</v>
      </c>
      <c r="M67" s="10"/>
    </row>
    <row r="68" ht="36.0" customHeight="1">
      <c r="A68" s="7" t="s">
        <v>280</v>
      </c>
      <c r="B68" s="7" t="s">
        <v>272</v>
      </c>
      <c r="C68" s="7" t="s">
        <v>48</v>
      </c>
      <c r="D68" s="7" t="s">
        <v>281</v>
      </c>
      <c r="E68" s="8" t="s">
        <v>25</v>
      </c>
      <c r="F68" s="9">
        <v>8.0</v>
      </c>
      <c r="G68" s="7" t="s">
        <v>282</v>
      </c>
      <c r="H68" s="8" t="s">
        <v>260</v>
      </c>
      <c r="I68" s="8" t="s">
        <v>224</v>
      </c>
      <c r="J68" s="8" t="s">
        <v>247</v>
      </c>
      <c r="K68" s="8" t="s">
        <v>231</v>
      </c>
      <c r="L68" s="7" t="s">
        <v>271</v>
      </c>
      <c r="M68" s="7"/>
    </row>
    <row r="69" ht="36.0" customHeight="1">
      <c r="A69" s="10" t="s">
        <v>283</v>
      </c>
      <c r="B69" s="10" t="s">
        <v>284</v>
      </c>
      <c r="C69" s="10" t="s">
        <v>48</v>
      </c>
      <c r="D69" s="10" t="s">
        <v>285</v>
      </c>
      <c r="E69" s="8" t="s">
        <v>25</v>
      </c>
      <c r="F69" s="9">
        <v>13.0</v>
      </c>
      <c r="G69" s="10" t="s">
        <v>286</v>
      </c>
      <c r="H69" s="8" t="s">
        <v>260</v>
      </c>
      <c r="I69" s="8" t="s">
        <v>55</v>
      </c>
      <c r="J69" s="8" t="s">
        <v>247</v>
      </c>
      <c r="K69" s="8" t="s">
        <v>231</v>
      </c>
      <c r="L69" s="10" t="s">
        <v>280</v>
      </c>
      <c r="M69" s="10"/>
    </row>
    <row r="70" ht="36.0" customHeight="1">
      <c r="A70" s="7" t="s">
        <v>287</v>
      </c>
      <c r="B70" s="7" t="s">
        <v>288</v>
      </c>
      <c r="C70" s="7" t="s">
        <v>289</v>
      </c>
      <c r="D70" s="7" t="s">
        <v>290</v>
      </c>
      <c r="E70" s="8" t="s">
        <v>34</v>
      </c>
      <c r="F70" s="9">
        <v>8.0</v>
      </c>
      <c r="G70" s="7" t="s">
        <v>291</v>
      </c>
      <c r="H70" s="8" t="s">
        <v>260</v>
      </c>
      <c r="I70" s="8" t="s">
        <v>224</v>
      </c>
      <c r="J70" s="8" t="s">
        <v>247</v>
      </c>
      <c r="K70" s="8" t="s">
        <v>231</v>
      </c>
      <c r="L70" s="7" t="s">
        <v>280</v>
      </c>
      <c r="M70" s="7"/>
    </row>
    <row r="71" ht="36.0" customHeight="1">
      <c r="A71" s="10" t="s">
        <v>292</v>
      </c>
      <c r="B71" s="10" t="s">
        <v>293</v>
      </c>
      <c r="C71" s="10" t="s">
        <v>23</v>
      </c>
      <c r="D71" s="10" t="s">
        <v>294</v>
      </c>
      <c r="E71" s="8" t="s">
        <v>25</v>
      </c>
      <c r="F71" s="9">
        <v>5.0</v>
      </c>
      <c r="G71" s="10" t="s">
        <v>295</v>
      </c>
      <c r="H71" s="8" t="s">
        <v>260</v>
      </c>
      <c r="I71" s="8" t="s">
        <v>36</v>
      </c>
      <c r="J71" s="8" t="s">
        <v>247</v>
      </c>
      <c r="K71" s="8" t="s">
        <v>231</v>
      </c>
      <c r="L71" s="10" t="s">
        <v>296</v>
      </c>
      <c r="M71" s="10"/>
    </row>
    <row r="72" ht="48.75" customHeight="1">
      <c r="A72" s="7"/>
      <c r="B72" s="7"/>
      <c r="C72" s="7"/>
      <c r="D72" s="7"/>
      <c r="E72" s="8"/>
      <c r="F72" s="9"/>
      <c r="G72" s="7"/>
      <c r="H72" s="8"/>
      <c r="I72" s="8"/>
      <c r="J72" s="8"/>
      <c r="K72" s="8"/>
      <c r="L72" s="7"/>
      <c r="M72" s="7"/>
    </row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customSheetViews>
    <customSheetView guid="{48BE6C56-9FD5-4005-9359-26A0581CF8BF}" filter="1" showAutoFilter="1">
      <autoFilter ref="$A$8:$M$72"/>
      <extLst>
        <ext uri="GoogleSheetsCustomDataVersion1">
          <go:sheetsCustomData xmlns:go="http://customooxmlschemas.google.com/" filterViewId="1469050032"/>
        </ext>
      </extLst>
    </customSheetView>
  </customSheetViews>
  <conditionalFormatting sqref="J9:J72">
    <cfRule type="containsText" dxfId="5" priority="1" operator="containsText" text="Completado">
      <formula>NOT(ISERROR(SEARCH(("Completado"),(J9))))</formula>
    </cfRule>
  </conditionalFormatting>
  <conditionalFormatting sqref="J9:J72">
    <cfRule type="containsText" dxfId="6" priority="2" operator="containsText" text="Bloqueado">
      <formula>NOT(ISERROR(SEARCH(("Bloqueado"),(J9))))</formula>
    </cfRule>
  </conditionalFormatting>
  <dataValidations>
    <dataValidation type="list" allowBlank="1" sqref="J9:J72">
      <formula1>"Completado,En progreso,En revisión,Pendiente,Pendiente de verificación,Propuesto para validación"</formula1>
    </dataValidation>
    <dataValidation type="list" allowBlank="1" sqref="E9:E72">
      <formula1>"Crítica,Alta,Media,Baja"</formula1>
    </dataValidation>
    <dataValidation type="list" allowBlank="1" sqref="H9:H72">
      <formula1>"Sprint 1,Sprint 2,Sprint 3"</formula1>
    </dataValidation>
    <dataValidation type="list" allowBlank="1" sqref="K9:K72">
      <formula1>"Sí,No,Parcial,Por verificar"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